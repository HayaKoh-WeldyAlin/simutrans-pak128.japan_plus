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E:\kyont\private\game_modding\simutrans\128japan+\src\設備\"/>
    </mc:Choice>
  </mc:AlternateContent>
  <xr:revisionPtr revIDLastSave="0" documentId="13_ncr:1_{16E0AE91-E8C8-43A7-B552-23B0BC928E22}" xr6:coauthVersionLast="47" xr6:coauthVersionMax="47" xr10:uidLastSave="{00000000-0000-0000-0000-000000000000}"/>
  <bookViews>
    <workbookView xWindow="-120" yWindow="-120" windowWidth="29040" windowHeight="16440" xr2:uid="{9A382892-6161-4CE3-86B7-0F1BE08D9B19}"/>
  </bookViews>
  <sheets>
    <sheet name="道路" sheetId="1" r:id="rId1"/>
    <sheet name="構造係数" sheetId="4" r:id="rId2"/>
    <sheet name="舗装係数" sheetId="5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5" i="1" l="1"/>
  <c r="D5" i="1"/>
  <c r="H5" i="1" s="1"/>
  <c r="F4" i="1"/>
  <c r="D4" i="1"/>
  <c r="H4" i="1" s="1"/>
  <c r="F6" i="1"/>
  <c r="D6" i="1"/>
  <c r="G6" i="1" s="1"/>
  <c r="F3" i="1"/>
  <c r="D3" i="1"/>
  <c r="F12" i="1"/>
  <c r="D12" i="1"/>
  <c r="H12" i="1" s="1"/>
  <c r="F11" i="1"/>
  <c r="D7" i="1"/>
  <c r="D8" i="1"/>
  <c r="D9" i="1"/>
  <c r="D10" i="1"/>
  <c r="D11" i="1"/>
  <c r="F8" i="1"/>
  <c r="D2" i="1"/>
  <c r="F2" i="1"/>
  <c r="F7" i="1"/>
  <c r="F10" i="1"/>
  <c r="F9" i="1"/>
  <c r="G4" i="1" l="1"/>
  <c r="H3" i="1"/>
  <c r="G5" i="1"/>
  <c r="G11" i="1"/>
  <c r="H6" i="1"/>
  <c r="H8" i="1"/>
  <c r="G12" i="1"/>
  <c r="G3" i="1"/>
  <c r="H10" i="1"/>
  <c r="H7" i="1"/>
  <c r="H11" i="1"/>
  <c r="G8" i="1"/>
  <c r="H9" i="1"/>
  <c r="H2" i="1"/>
  <c r="G2" i="1"/>
  <c r="G7" i="1"/>
  <c r="G9" i="1"/>
  <c r="G10" i="1"/>
</calcChain>
</file>

<file path=xl/sharedStrings.xml><?xml version="1.0" encoding="utf-8"?>
<sst xmlns="http://schemas.openxmlformats.org/spreadsheetml/2006/main" count="59" uniqueCount="38">
  <si>
    <t>名称</t>
    <rPh sb="0" eb="2">
      <t>メイショウ</t>
    </rPh>
    <phoneticPr fontId="1"/>
  </si>
  <si>
    <t>最高速度</t>
    <rPh sb="0" eb="4">
      <t>サイコウソクド</t>
    </rPh>
    <phoneticPr fontId="1"/>
  </si>
  <si>
    <t>構造</t>
    <rPh sb="0" eb="2">
      <t>コウゾウ</t>
    </rPh>
    <phoneticPr fontId="1"/>
  </si>
  <si>
    <t>価格</t>
    <rPh sb="0" eb="2">
      <t>カカク</t>
    </rPh>
    <phoneticPr fontId="1"/>
  </si>
  <si>
    <t>維持費</t>
    <rPh sb="0" eb="3">
      <t>イジヒ</t>
    </rPh>
    <phoneticPr fontId="1"/>
  </si>
  <si>
    <t>平面</t>
    <rPh sb="0" eb="2">
      <t>ヘイメン</t>
    </rPh>
    <phoneticPr fontId="1"/>
  </si>
  <si>
    <t>60km/h幹線道路</t>
    <rPh sb="6" eb="10">
      <t>カンセンドウロ</t>
    </rPh>
    <phoneticPr fontId="1"/>
  </si>
  <si>
    <t>係数</t>
    <rPh sb="0" eb="2">
      <t>ケイスウ</t>
    </rPh>
    <phoneticPr fontId="1"/>
  </si>
  <si>
    <t>高架</t>
    <rPh sb="0" eb="2">
      <t>コウカ</t>
    </rPh>
    <phoneticPr fontId="1"/>
  </si>
  <si>
    <t>橋</t>
    <rPh sb="0" eb="1">
      <t>ハシ</t>
    </rPh>
    <phoneticPr fontId="1"/>
  </si>
  <si>
    <t>隧道</t>
    <rPh sb="0" eb="2">
      <t>ズイドウ</t>
    </rPh>
    <phoneticPr fontId="1"/>
  </si>
  <si>
    <t>舗装</t>
    <rPh sb="0" eb="2">
      <t>ホソウ</t>
    </rPh>
    <phoneticPr fontId="1"/>
  </si>
  <si>
    <t>係数</t>
    <rPh sb="0" eb="2">
      <t>ケイスウ</t>
    </rPh>
    <phoneticPr fontId="1"/>
  </si>
  <si>
    <t>瀝青</t>
  </si>
  <si>
    <t>舗装</t>
    <rPh sb="0" eb="2">
      <t>ホソウ</t>
    </rPh>
    <phoneticPr fontId="1"/>
  </si>
  <si>
    <t>瀝青</t>
    <rPh sb="0" eb="2">
      <t>レキセイ</t>
    </rPh>
    <phoneticPr fontId="1"/>
  </si>
  <si>
    <t>備考</t>
    <rPh sb="0" eb="2">
      <t>ビコウ</t>
    </rPh>
    <phoneticPr fontId="1"/>
  </si>
  <si>
    <t>アスファルトのこと</t>
    <phoneticPr fontId="1"/>
  </si>
  <si>
    <t>混凝土</t>
    <phoneticPr fontId="1"/>
  </si>
  <si>
    <t>コンクリートのこと</t>
    <phoneticPr fontId="1"/>
  </si>
  <si>
    <t>石畳</t>
    <rPh sb="0" eb="2">
      <t>イシダタミ</t>
    </rPh>
    <phoneticPr fontId="1"/>
  </si>
  <si>
    <t>砂利</t>
    <rPh sb="0" eb="2">
      <t>ジャリ</t>
    </rPh>
    <phoneticPr fontId="1"/>
  </si>
  <si>
    <t>簡易</t>
    <rPh sb="0" eb="2">
      <t>カンイ</t>
    </rPh>
    <phoneticPr fontId="1"/>
  </si>
  <si>
    <t>30km/h生活道路</t>
    <rPh sb="6" eb="10">
      <t>セイカツドウロ</t>
    </rPh>
    <phoneticPr fontId="1"/>
  </si>
  <si>
    <t>瀝青</t>
    <phoneticPr fontId="1"/>
  </si>
  <si>
    <t>橋の場合は木や石</t>
    <rPh sb="0" eb="1">
      <t>ハシ</t>
    </rPh>
    <rPh sb="2" eb="4">
      <t>バアイ</t>
    </rPh>
    <rPh sb="5" eb="6">
      <t>キ</t>
    </rPh>
    <rPh sb="7" eb="8">
      <t>イシ</t>
    </rPh>
    <phoneticPr fontId="1"/>
  </si>
  <si>
    <t>土や草の路面の未舗装路
橋の場合は木材や鉄板</t>
    <rPh sb="0" eb="1">
      <t>ツチ</t>
    </rPh>
    <rPh sb="2" eb="3">
      <t>クサ</t>
    </rPh>
    <rPh sb="4" eb="6">
      <t>ロメン</t>
    </rPh>
    <rPh sb="7" eb="11">
      <t>ミホソウロ</t>
    </rPh>
    <rPh sb="12" eb="13">
      <t>ハシ</t>
    </rPh>
    <rPh sb="14" eb="16">
      <t>バアイ</t>
    </rPh>
    <rPh sb="17" eb="19">
      <t>モクザイ</t>
    </rPh>
    <rPh sb="20" eb="22">
      <t>テッパン</t>
    </rPh>
    <phoneticPr fontId="1"/>
  </si>
  <si>
    <t>簡易</t>
  </si>
  <si>
    <t>40km/h市街道路</t>
    <rPh sb="6" eb="8">
      <t>シガイ</t>
    </rPh>
    <rPh sb="8" eb="10">
      <t>ドウロ</t>
    </rPh>
    <phoneticPr fontId="1"/>
  </si>
  <si>
    <t>50km/h一般道路</t>
    <rPh sb="6" eb="8">
      <t>イッパン</t>
    </rPh>
    <rPh sb="8" eb="10">
      <t>ドウロ</t>
    </rPh>
    <phoneticPr fontId="1"/>
  </si>
  <si>
    <t>70km/h高規格道路</t>
    <rPh sb="6" eb="9">
      <t>コウキカク</t>
    </rPh>
    <rPh sb="9" eb="11">
      <t>ドウロ</t>
    </rPh>
    <phoneticPr fontId="1"/>
  </si>
  <si>
    <t>30km/h未舗装路</t>
    <rPh sb="6" eb="10">
      <t>ミホソウロ</t>
    </rPh>
    <phoneticPr fontId="1"/>
  </si>
  <si>
    <t>80km/h暫定高速道路</t>
    <rPh sb="6" eb="8">
      <t>ザンテイ</t>
    </rPh>
    <rPh sb="8" eb="12">
      <t>コウソクドウロ</t>
    </rPh>
    <phoneticPr fontId="1"/>
  </si>
  <si>
    <t>20km/h未舗装路</t>
    <rPh sb="6" eb="10">
      <t>ミホソウロ</t>
    </rPh>
    <phoneticPr fontId="1"/>
  </si>
  <si>
    <t>30km/h砂利道</t>
    <rPh sb="6" eb="9">
      <t>ジャリミチ</t>
    </rPh>
    <phoneticPr fontId="1"/>
  </si>
  <si>
    <t>砂利</t>
  </si>
  <si>
    <t>40km/h市街道路</t>
    <rPh sb="6" eb="8">
      <t>シガイ</t>
    </rPh>
    <rPh sb="8" eb="10">
      <t>ドウロ</t>
    </rPh>
    <phoneticPr fontId="1"/>
  </si>
  <si>
    <t>50km/h幹線道路</t>
    <rPh sb="6" eb="10">
      <t>カンセンドウロ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</si>
</sst>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1"/>
      <name val="游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2" fillId="0" borderId="0" xfId="0" applyFont="1">
      <alignment vertical="center"/>
    </xf>
    <xf numFmtId="0" fontId="2" fillId="0" borderId="0" xfId="0" applyFont="1" applyAlignment="1">
      <alignment vertical="center" wrapText="1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BAFF05-1A64-4ED6-A821-85E9FCBAE7BD}">
  <dimension ref="A1:H12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8.75" x14ac:dyDescent="0.15"/>
  <cols>
    <col min="1" max="1" width="20.375" style="1" bestFit="1" customWidth="1"/>
    <col min="2" max="2" width="9" style="1" bestFit="1" customWidth="1"/>
    <col min="3" max="4" width="5.25" style="1" bestFit="1" customWidth="1"/>
    <col min="5" max="6" width="5.25" style="1" customWidth="1"/>
    <col min="7" max="7" width="7.5" style="1" bestFit="1" customWidth="1"/>
    <col min="8" max="8" width="7.125" style="1" bestFit="1" customWidth="1"/>
    <col min="9" max="16384" width="9" style="1"/>
  </cols>
  <sheetData>
    <row r="1" spans="1:8" x14ac:dyDescent="0.15">
      <c r="A1" s="1" t="s">
        <v>0</v>
      </c>
      <c r="B1" s="1" t="s">
        <v>1</v>
      </c>
      <c r="C1" s="1" t="s">
        <v>2</v>
      </c>
      <c r="D1" s="1" t="s">
        <v>7</v>
      </c>
      <c r="E1" s="1" t="s">
        <v>11</v>
      </c>
      <c r="F1" s="1" t="s">
        <v>12</v>
      </c>
      <c r="G1" s="1" t="s">
        <v>3</v>
      </c>
      <c r="H1" s="1" t="s">
        <v>4</v>
      </c>
    </row>
    <row r="2" spans="1:8" x14ac:dyDescent="0.15">
      <c r="A2" s="1" t="s">
        <v>33</v>
      </c>
      <c r="B2" s="1">
        <v>20</v>
      </c>
      <c r="C2" s="1" t="s">
        <v>5</v>
      </c>
      <c r="D2" s="1">
        <f>_xlfn.XLOOKUP($C2,構造係数!$A$2:$A$5,構造係数!$B$2:$B$5)</f>
        <v>1</v>
      </c>
      <c r="E2" s="1" t="s">
        <v>27</v>
      </c>
      <c r="F2" s="1">
        <f>_xlfn.XLOOKUP($E2,舗装係数!$A$2:$A$6,舗装係数!$B$2:$B$6)</f>
        <v>0.1</v>
      </c>
      <c r="G2" s="1">
        <f>$B2*1250*$D2*$F2</f>
        <v>2500</v>
      </c>
      <c r="H2" s="1">
        <f>$B2*1.8*$D2*IF(1-$F2=0,1,(1-$F2)*10)</f>
        <v>324</v>
      </c>
    </row>
    <row r="3" spans="1:8" x14ac:dyDescent="0.15">
      <c r="A3" s="1" t="s">
        <v>31</v>
      </c>
      <c r="B3" s="1">
        <v>30</v>
      </c>
      <c r="C3" s="1" t="s">
        <v>5</v>
      </c>
      <c r="D3" s="1">
        <f>_xlfn.XLOOKUP($C3,構造係数!$A$2:$A$5,構造係数!$B$2:$B$5)</f>
        <v>1</v>
      </c>
      <c r="E3" s="1" t="s">
        <v>27</v>
      </c>
      <c r="F3" s="1">
        <f>_xlfn.XLOOKUP($E3,舗装係数!$A$2:$A$6,舗装係数!$B$2:$B$6)</f>
        <v>0.1</v>
      </c>
      <c r="G3" s="1">
        <f>$B3*1250*$D3*$F3</f>
        <v>3750</v>
      </c>
      <c r="H3" s="1">
        <f>$B3*1.8*$D3*IF(1-$F3=0,1,(1-$F3)*10)</f>
        <v>486</v>
      </c>
    </row>
    <row r="4" spans="1:8" x14ac:dyDescent="0.15">
      <c r="A4" s="1" t="s">
        <v>34</v>
      </c>
      <c r="B4" s="1">
        <v>30</v>
      </c>
      <c r="C4" s="1" t="s">
        <v>5</v>
      </c>
      <c r="D4" s="1">
        <f>_xlfn.XLOOKUP($C4,構造係数!$A$2:$A$5,構造係数!$B$2:$B$5)</f>
        <v>1</v>
      </c>
      <c r="E4" s="1" t="s">
        <v>35</v>
      </c>
      <c r="F4" s="1">
        <f>_xlfn.XLOOKUP($E4,舗装係数!$A$2:$A$6,舗装係数!$B$2:$B$6)</f>
        <v>0.3</v>
      </c>
      <c r="G4" s="1">
        <f t="shared" ref="G4:G5" si="0">$B4*1250*$D4*$F4</f>
        <v>11250</v>
      </c>
      <c r="H4" s="1">
        <f t="shared" ref="H4:H5" si="1">$B4*1.8*$D4*IF(1-$F4=0,1,(1-$F4)*10)</f>
        <v>378</v>
      </c>
    </row>
    <row r="5" spans="1:8" x14ac:dyDescent="0.15">
      <c r="A5" s="1" t="s">
        <v>36</v>
      </c>
      <c r="B5" s="1">
        <v>40</v>
      </c>
      <c r="C5" s="1" t="s">
        <v>5</v>
      </c>
      <c r="D5" s="1">
        <f>_xlfn.XLOOKUP($C5,構造係数!$A$2:$A$5,構造係数!$B$2:$B$5)</f>
        <v>1</v>
      </c>
      <c r="E5" s="1" t="s">
        <v>35</v>
      </c>
      <c r="F5" s="1">
        <f>_xlfn.XLOOKUP($E5,舗装係数!$A$2:$A$6,舗装係数!$B$2:$B$6)</f>
        <v>0.3</v>
      </c>
      <c r="G5" s="1">
        <f t="shared" si="0"/>
        <v>15000</v>
      </c>
      <c r="H5" s="1">
        <f t="shared" si="1"/>
        <v>504</v>
      </c>
    </row>
    <row r="6" spans="1:8" x14ac:dyDescent="0.15">
      <c r="A6" s="1" t="s">
        <v>37</v>
      </c>
      <c r="B6" s="1">
        <v>50</v>
      </c>
      <c r="C6" s="1" t="s">
        <v>5</v>
      </c>
      <c r="D6" s="1">
        <f>_xlfn.XLOOKUP($C6,構造係数!$A$2:$A$5,構造係数!$B$2:$B$5)</f>
        <v>1</v>
      </c>
      <c r="E6" s="1" t="s">
        <v>35</v>
      </c>
      <c r="F6" s="1">
        <f>_xlfn.XLOOKUP($E6,舗装係数!$A$2:$A$6,舗装係数!$B$2:$B$6)</f>
        <v>0.3</v>
      </c>
      <c r="G6" s="1">
        <f>$B6*1250*$D6*$F6</f>
        <v>18750</v>
      </c>
      <c r="H6" s="1">
        <f>$B6*1.8*$D6*IF(1-$F6=0,1,(1-$F6)*10)</f>
        <v>630</v>
      </c>
    </row>
    <row r="7" spans="1:8" x14ac:dyDescent="0.15">
      <c r="A7" s="1" t="s">
        <v>23</v>
      </c>
      <c r="B7" s="1">
        <v>30</v>
      </c>
      <c r="C7" s="1" t="s">
        <v>5</v>
      </c>
      <c r="D7" s="1">
        <f>_xlfn.XLOOKUP($C7,構造係数!$A$2:$A$5,構造係数!$B$2:$B$5)</f>
        <v>1</v>
      </c>
      <c r="E7" s="1" t="s">
        <v>24</v>
      </c>
      <c r="F7" s="1">
        <f>_xlfn.XLOOKUP($E7,舗装係数!$A$2:$A$6,舗装係数!$B$2:$B$6)</f>
        <v>1</v>
      </c>
      <c r="G7" s="1">
        <f>$B7*1250*$D7*$F7</f>
        <v>37500</v>
      </c>
      <c r="H7" s="1">
        <f>$B7*1.8*$D7*IF(1-$F7=0,1,(1-$F7)*10)</f>
        <v>54</v>
      </c>
    </row>
    <row r="8" spans="1:8" x14ac:dyDescent="0.15">
      <c r="A8" s="1" t="s">
        <v>28</v>
      </c>
      <c r="B8" s="1">
        <v>40</v>
      </c>
      <c r="C8" s="1" t="s">
        <v>5</v>
      </c>
      <c r="D8" s="1">
        <f>_xlfn.XLOOKUP($C8,構造係数!$A$2:$A$5,構造係数!$B$2:$B$5)</f>
        <v>1</v>
      </c>
      <c r="E8" s="1" t="s">
        <v>24</v>
      </c>
      <c r="F8" s="1">
        <f>_xlfn.XLOOKUP($E8,舗装係数!$A$2:$A$6,舗装係数!$B$2:$B$6)</f>
        <v>1</v>
      </c>
      <c r="G8" s="1">
        <f>$B8*1250*$D8*$F8</f>
        <v>50000</v>
      </c>
      <c r="H8" s="1">
        <f>$B8*1.8*$D8*IF(1-$F8=0,1,(1-$F8)*10)</f>
        <v>72</v>
      </c>
    </row>
    <row r="9" spans="1:8" x14ac:dyDescent="0.15">
      <c r="A9" s="1" t="s">
        <v>29</v>
      </c>
      <c r="B9" s="1">
        <v>50</v>
      </c>
      <c r="C9" s="1" t="s">
        <v>5</v>
      </c>
      <c r="D9" s="1">
        <f>_xlfn.XLOOKUP($C9,構造係数!$A$2:$A$5,構造係数!$B$2:$B$5)</f>
        <v>1</v>
      </c>
      <c r="E9" s="1" t="s">
        <v>13</v>
      </c>
      <c r="F9" s="1">
        <f>_xlfn.XLOOKUP($E9,舗装係数!$A$2:$A$6,舗装係数!$B$2:$B$6)</f>
        <v>1</v>
      </c>
      <c r="G9" s="1">
        <f t="shared" ref="G9:G12" si="2">$B9*1250*$D9*$F9</f>
        <v>62500</v>
      </c>
      <c r="H9" s="1">
        <f t="shared" ref="H9:H12" si="3">$B9*1.8*$D9*IF(1-$F9=0,1,(1-$F9)*10)</f>
        <v>90</v>
      </c>
    </row>
    <row r="10" spans="1:8" x14ac:dyDescent="0.15">
      <c r="A10" s="1" t="s">
        <v>6</v>
      </c>
      <c r="B10" s="1">
        <v>60</v>
      </c>
      <c r="C10" s="1" t="s">
        <v>5</v>
      </c>
      <c r="D10" s="1">
        <f>_xlfn.XLOOKUP($C10,構造係数!$A$2:$A$5,構造係数!$B$2:$B$5)</f>
        <v>1</v>
      </c>
      <c r="E10" s="1" t="s">
        <v>13</v>
      </c>
      <c r="F10" s="1">
        <f>_xlfn.XLOOKUP($E10,舗装係数!$A$2:$A$6,舗装係数!$B$2:$B$6)</f>
        <v>1</v>
      </c>
      <c r="G10" s="1">
        <f t="shared" si="2"/>
        <v>75000</v>
      </c>
      <c r="H10" s="1">
        <f t="shared" si="3"/>
        <v>108</v>
      </c>
    </row>
    <row r="11" spans="1:8" x14ac:dyDescent="0.15">
      <c r="A11" s="1" t="s">
        <v>30</v>
      </c>
      <c r="B11" s="1">
        <v>70</v>
      </c>
      <c r="C11" s="1" t="s">
        <v>5</v>
      </c>
      <c r="D11" s="1">
        <f>_xlfn.XLOOKUP($C11,構造係数!$A$2:$A$5,構造係数!$B$2:$B$5)</f>
        <v>1</v>
      </c>
      <c r="E11" s="1" t="s">
        <v>24</v>
      </c>
      <c r="F11" s="1">
        <f>_xlfn.XLOOKUP($E11,舗装係数!$A$2:$A$6,舗装係数!$B$2:$B$6)</f>
        <v>1</v>
      </c>
      <c r="G11" s="1">
        <f t="shared" si="2"/>
        <v>87500</v>
      </c>
      <c r="H11" s="1">
        <f t="shared" si="3"/>
        <v>126</v>
      </c>
    </row>
    <row r="12" spans="1:8" x14ac:dyDescent="0.15">
      <c r="A12" s="1" t="s">
        <v>32</v>
      </c>
      <c r="B12" s="1">
        <v>80</v>
      </c>
      <c r="C12" s="1" t="s">
        <v>5</v>
      </c>
      <c r="D12" s="1">
        <f>_xlfn.XLOOKUP($C12,構造係数!$A$2:$A$5,構造係数!$B$2:$B$5)</f>
        <v>1</v>
      </c>
      <c r="E12" s="1" t="s">
        <v>24</v>
      </c>
      <c r="F12" s="1">
        <f>_xlfn.XLOOKUP($E12,舗装係数!$A$2:$A$6,舗装係数!$B$2:$B$6)</f>
        <v>1</v>
      </c>
      <c r="G12" s="1">
        <f t="shared" si="2"/>
        <v>100000</v>
      </c>
      <c r="H12" s="1">
        <f t="shared" si="3"/>
        <v>144</v>
      </c>
    </row>
  </sheetData>
  <phoneticPr fontId="1"/>
  <dataValidations count="2">
    <dataValidation type="list" allowBlank="1" showInputMessage="1" showErrorMessage="1" sqref="C2:C1048576" xr:uid="{03A33EBC-1B73-4DDD-8F41-D9B22D84B946}">
      <formula1>"平面,高架,橋,隧道"</formula1>
    </dataValidation>
    <dataValidation type="list" allowBlank="1" showInputMessage="1" showErrorMessage="1" sqref="E2:E1048576" xr:uid="{25105369-6078-43A2-A92D-B715B610AD4D}">
      <formula1>"瀝青,混凝土,石畳,砂利,簡易"</formula1>
    </dataValidation>
  </dataValidations>
  <pageMargins left="0.75" right="0.75" top="1" bottom="1" header="0.5" footer="0.5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A8ED1E-A793-430E-86B6-4402C0FDE0F0}">
  <dimension ref="A1:B5"/>
  <sheetViews>
    <sheetView workbookViewId="0"/>
  </sheetViews>
  <sheetFormatPr defaultRowHeight="18.75" x14ac:dyDescent="0.15"/>
  <cols>
    <col min="1" max="16384" width="9" style="1"/>
  </cols>
  <sheetData>
    <row r="1" spans="1:2" x14ac:dyDescent="0.15">
      <c r="A1" s="1" t="s">
        <v>2</v>
      </c>
      <c r="B1" s="1" t="s">
        <v>7</v>
      </c>
    </row>
    <row r="2" spans="1:2" x14ac:dyDescent="0.15">
      <c r="A2" s="1" t="s">
        <v>5</v>
      </c>
      <c r="B2" s="1">
        <v>1</v>
      </c>
    </row>
    <row r="3" spans="1:2" x14ac:dyDescent="0.15">
      <c r="A3" s="1" t="s">
        <v>8</v>
      </c>
      <c r="B3" s="1">
        <v>3</v>
      </c>
    </row>
    <row r="4" spans="1:2" x14ac:dyDescent="0.15">
      <c r="A4" s="1" t="s">
        <v>9</v>
      </c>
      <c r="B4" s="1">
        <v>5</v>
      </c>
    </row>
    <row r="5" spans="1:2" x14ac:dyDescent="0.15">
      <c r="A5" s="1" t="s">
        <v>10</v>
      </c>
      <c r="B5" s="1">
        <v>10</v>
      </c>
    </row>
  </sheetData>
  <phoneticPr fontId="1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0E22B5-9D70-490B-949A-2EB9733BBAD6}">
  <dimension ref="A1:C6"/>
  <sheetViews>
    <sheetView workbookViewId="0"/>
  </sheetViews>
  <sheetFormatPr defaultRowHeight="18.75" x14ac:dyDescent="0.15"/>
  <cols>
    <col min="1" max="2" width="9" style="1"/>
    <col min="3" max="3" width="23.5" style="1" bestFit="1" customWidth="1"/>
    <col min="4" max="16384" width="9" style="1"/>
  </cols>
  <sheetData>
    <row r="1" spans="1:3" x14ac:dyDescent="0.15">
      <c r="A1" s="1" t="s">
        <v>14</v>
      </c>
      <c r="B1" s="1" t="s">
        <v>7</v>
      </c>
      <c r="C1" s="1" t="s">
        <v>16</v>
      </c>
    </row>
    <row r="2" spans="1:3" x14ac:dyDescent="0.15">
      <c r="A2" s="1" t="s">
        <v>15</v>
      </c>
      <c r="B2" s="1">
        <v>1</v>
      </c>
      <c r="C2" s="1" t="s">
        <v>17</v>
      </c>
    </row>
    <row r="3" spans="1:3" x14ac:dyDescent="0.15">
      <c r="A3" s="1" t="s">
        <v>18</v>
      </c>
      <c r="B3" s="1">
        <v>0.8</v>
      </c>
      <c r="C3" s="1" t="s">
        <v>19</v>
      </c>
    </row>
    <row r="4" spans="1:3" x14ac:dyDescent="0.15">
      <c r="A4" s="1" t="s">
        <v>20</v>
      </c>
      <c r="B4" s="1">
        <v>0.5</v>
      </c>
    </row>
    <row r="5" spans="1:3" x14ac:dyDescent="0.15">
      <c r="A5" s="1" t="s">
        <v>21</v>
      </c>
      <c r="B5" s="1">
        <v>0.3</v>
      </c>
      <c r="C5" s="1" t="s">
        <v>25</v>
      </c>
    </row>
    <row r="6" spans="1:3" ht="37.5" x14ac:dyDescent="0.15">
      <c r="A6" s="1" t="s">
        <v>22</v>
      </c>
      <c r="B6" s="1">
        <v>0.1</v>
      </c>
      <c r="C6" s="2" t="s">
        <v>26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道路</vt:lpstr>
      <vt:lpstr>構造係数</vt:lpstr>
      <vt:lpstr>舗装係数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林田光惺</dc:creator>
  <cp:lastModifiedBy>光惺 林田</cp:lastModifiedBy>
  <dcterms:created xsi:type="dcterms:W3CDTF">2006-10-08T16:50:37Z</dcterms:created>
  <dcterms:modified xsi:type="dcterms:W3CDTF">2026-10-20T11:39:11Z</dcterms:modified>
</cp:coreProperties>
</file>