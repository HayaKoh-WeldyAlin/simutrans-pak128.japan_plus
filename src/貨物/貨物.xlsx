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kyont\private\WeldyAlin\ゲーム開発系\simutrans\128japan+\src\貨物\"/>
    </mc:Choice>
  </mc:AlternateContent>
  <xr:revisionPtr revIDLastSave="0" documentId="13_ncr:1_{1E93FE5E-EF28-46E9-8560-3B0D553ADF6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貨物" sheetId="1" r:id="rId1"/>
    <sheet name="カテゴリ" sheetId="2" r:id="rId2"/>
    <sheet name="色" sheetId="3" r:id="rId3"/>
  </sheets>
  <definedNames>
    <definedName name="_xlnm._FilterDatabase" localSheetId="0" hidden="1">貨物!$A$1:$H$69</definedName>
    <definedName name="_xlnm._FilterDatabase" localSheetId="2" hidden="1">色!$A$1:$C$225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1" i="2" l="1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2" i="2"/>
  <c r="D2" i="2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2" i="1"/>
  <c r="L3" i="1"/>
  <c r="L4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J60" i="1"/>
  <c r="F5" i="1"/>
  <c r="E66" i="1"/>
  <c r="E67" i="1"/>
  <c r="E68" i="1"/>
  <c r="E69" i="1"/>
  <c r="E65" i="1"/>
  <c r="F67" i="1"/>
  <c r="E63" i="1"/>
  <c r="E61" i="1"/>
  <c r="E60" i="1"/>
  <c r="E59" i="1"/>
  <c r="E57" i="1"/>
  <c r="E56" i="1"/>
  <c r="E54" i="1"/>
  <c r="F54" i="1" s="1"/>
  <c r="E53" i="1"/>
  <c r="F53" i="1" s="1"/>
  <c r="E52" i="1"/>
  <c r="E49" i="1"/>
  <c r="E50" i="1"/>
  <c r="E48" i="1"/>
  <c r="F48" i="1" s="1"/>
  <c r="F52" i="1"/>
  <c r="F50" i="1"/>
  <c r="F63" i="1"/>
  <c r="E46" i="1"/>
  <c r="E45" i="1"/>
  <c r="E42" i="1"/>
  <c r="F42" i="1" s="1"/>
  <c r="E43" i="1"/>
  <c r="F43" i="1" s="1"/>
  <c r="F69" i="1"/>
  <c r="F68" i="1"/>
  <c r="F66" i="1"/>
  <c r="F65" i="1"/>
  <c r="F64" i="1"/>
  <c r="F62" i="1"/>
  <c r="F61" i="1"/>
  <c r="F60" i="1"/>
  <c r="F59" i="1"/>
  <c r="F58" i="1"/>
  <c r="F57" i="1"/>
  <c r="F56" i="1"/>
  <c r="F55" i="1"/>
  <c r="F51" i="1"/>
  <c r="F49" i="1"/>
  <c r="F47" i="1"/>
  <c r="F46" i="1"/>
  <c r="F45" i="1"/>
  <c r="F44" i="1"/>
  <c r="F41" i="1"/>
  <c r="F40" i="1"/>
  <c r="F39" i="1"/>
  <c r="F38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4" i="1"/>
  <c r="F3" i="1"/>
  <c r="F2" i="1"/>
  <c r="E32" i="1"/>
  <c r="E33" i="1"/>
  <c r="E34" i="1"/>
  <c r="E35" i="1"/>
  <c r="E36" i="1"/>
  <c r="F36" i="1" s="1"/>
  <c r="E37" i="1"/>
  <c r="F37" i="1" s="1"/>
  <c r="E38" i="1"/>
  <c r="E39" i="1"/>
  <c r="E40" i="1"/>
  <c r="E31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7" i="1"/>
  <c r="J27" i="1"/>
  <c r="D27" i="1"/>
  <c r="J53" i="1"/>
  <c r="D53" i="1"/>
  <c r="J54" i="1"/>
  <c r="D54" i="1"/>
  <c r="J15" i="1"/>
  <c r="D15" i="1"/>
  <c r="J8" i="1"/>
  <c r="D8" i="1"/>
  <c r="J29" i="1"/>
  <c r="D28" i="1"/>
  <c r="D29" i="1"/>
  <c r="J11" i="1"/>
  <c r="D11" i="1"/>
  <c r="J16" i="1"/>
  <c r="D3" i="1"/>
  <c r="D4" i="1"/>
  <c r="D5" i="1"/>
  <c r="D6" i="1"/>
  <c r="D7" i="1"/>
  <c r="D9" i="1"/>
  <c r="D10" i="1"/>
  <c r="D12" i="1"/>
  <c r="D13" i="1"/>
  <c r="D14" i="1"/>
  <c r="D16" i="1"/>
  <c r="D17" i="1"/>
  <c r="D19" i="1"/>
  <c r="D20" i="1"/>
  <c r="D18" i="1"/>
  <c r="D21" i="1"/>
  <c r="D22" i="1"/>
  <c r="D23" i="1"/>
  <c r="D24" i="1"/>
  <c r="D25" i="1"/>
  <c r="D26" i="1"/>
  <c r="D30" i="1"/>
  <c r="D31" i="1"/>
  <c r="D33" i="1"/>
  <c r="D35" i="1"/>
  <c r="D32" i="1"/>
  <c r="D34" i="1"/>
  <c r="D37" i="1"/>
  <c r="D39" i="1"/>
  <c r="D36" i="1"/>
  <c r="D38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J35" i="1"/>
  <c r="J31" i="1"/>
  <c r="J36" i="1"/>
  <c r="J5" i="1"/>
  <c r="J43" i="1"/>
  <c r="J3" i="1"/>
  <c r="J4" i="1"/>
  <c r="J61" i="1"/>
  <c r="J7" i="1"/>
  <c r="J9" i="1"/>
  <c r="J10" i="1"/>
  <c r="J12" i="1"/>
  <c r="J13" i="1"/>
  <c r="J14" i="1"/>
  <c r="J17" i="1"/>
  <c r="J19" i="1"/>
  <c r="J20" i="1"/>
  <c r="J18" i="1"/>
  <c r="J21" i="1"/>
  <c r="J22" i="1"/>
  <c r="J23" i="1"/>
  <c r="J24" i="1"/>
  <c r="J25" i="1"/>
  <c r="J26" i="1"/>
  <c r="J28" i="1"/>
  <c r="J37" i="1"/>
  <c r="J32" i="1"/>
  <c r="J33" i="1"/>
  <c r="J34" i="1"/>
  <c r="J39" i="1"/>
  <c r="J38" i="1"/>
  <c r="J40" i="1"/>
  <c r="J42" i="1"/>
  <c r="J45" i="1"/>
  <c r="J46" i="1"/>
  <c r="J48" i="1"/>
  <c r="J49" i="1"/>
  <c r="J50" i="1"/>
  <c r="J52" i="1"/>
  <c r="J56" i="1"/>
  <c r="J57" i="1"/>
  <c r="J59" i="1"/>
  <c r="J63" i="1"/>
  <c r="J65" i="1"/>
  <c r="J66" i="1"/>
  <c r="J67" i="1"/>
  <c r="J68" i="1"/>
  <c r="J69" i="1"/>
  <c r="D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林田光惺</author>
  </authors>
  <commentList>
    <comment ref="L1" authorId="0" shapeId="0" xr:uid="{81D48EDE-3D21-4276-A053-8D38A0F932CF}">
      <text>
        <r>
          <rPr>
            <b/>
            <sz val="9"/>
            <color indexed="81"/>
            <rFont val="MS P ゴシック"/>
            <family val="3"/>
            <charset val="128"/>
          </rPr>
          <t>林田光惺:</t>
        </r>
        <r>
          <rPr>
            <sz val="9"/>
            <color indexed="81"/>
            <rFont val="MS P ゴシック"/>
            <family val="3"/>
            <charset val="128"/>
          </rPr>
          <t xml:space="preserve">
価格が旅客の何倍であるかの値。専用貨物では車輌価格にこの値が乗算される。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林田光惺</author>
  </authors>
  <commentList>
    <comment ref="F1" authorId="0" shapeId="0" xr:uid="{C63F0A40-C531-48FF-A9C4-08146667F65B}">
      <text>
        <r>
          <rPr>
            <b/>
            <sz val="9"/>
            <color indexed="81"/>
            <rFont val="MS P ゴシック"/>
            <family val="3"/>
            <charset val="128"/>
          </rPr>
          <t>林田光惺:</t>
        </r>
        <r>
          <rPr>
            <sz val="9"/>
            <color indexed="81"/>
            <rFont val="MS P ゴシック"/>
            <family val="3"/>
            <charset val="128"/>
          </rPr>
          <t xml:space="preserve">
価格が旅客の何倍であるかの値。専用貨物以外ではカテゴリごとに車輌価格にこの値が乗算される。</t>
        </r>
      </text>
    </comment>
  </commentList>
</comments>
</file>

<file path=xl/sharedStrings.xml><?xml version="1.0" encoding="utf-8"?>
<sst xmlns="http://schemas.openxmlformats.org/spreadsheetml/2006/main" count="432" uniqueCount="386">
  <si>
    <t>内部名</t>
    <rPh sb="0" eb="2">
      <t>ナイブ</t>
    </rPh>
    <rPh sb="2" eb="3">
      <t>メイ</t>
    </rPh>
    <phoneticPr fontId="1"/>
  </si>
  <si>
    <t>カテゴリ</t>
    <phoneticPr fontId="1"/>
  </si>
  <si>
    <t>ボーナス</t>
    <phoneticPr fontId="1"/>
  </si>
  <si>
    <t>None</t>
    <phoneticPr fontId="1"/>
  </si>
  <si>
    <t>なし</t>
    <phoneticPr fontId="1"/>
  </si>
  <si>
    <t>Passagiere</t>
    <phoneticPr fontId="1"/>
  </si>
  <si>
    <t>旅客</t>
    <rPh sb="0" eb="2">
      <t>リョカク</t>
    </rPh>
    <phoneticPr fontId="1"/>
  </si>
  <si>
    <t>重さ</t>
    <rPh sb="0" eb="1">
      <t>オモ</t>
    </rPh>
    <phoneticPr fontId="1"/>
  </si>
  <si>
    <t>Post</t>
    <phoneticPr fontId="1"/>
  </si>
  <si>
    <t>手荷物</t>
    <rPh sb="0" eb="3">
      <t>テニモツ</t>
    </rPh>
    <phoneticPr fontId="1"/>
  </si>
  <si>
    <t>Beton</t>
    <phoneticPr fontId="1"/>
  </si>
  <si>
    <t>コンクリート</t>
    <phoneticPr fontId="1"/>
  </si>
  <si>
    <t>Stahl</t>
    <phoneticPr fontId="1"/>
  </si>
  <si>
    <t>鉄鋼</t>
    <rPh sb="0" eb="2">
      <t>テッコウ</t>
    </rPh>
    <phoneticPr fontId="1"/>
  </si>
  <si>
    <t>Alkohol</t>
    <phoneticPr fontId="1"/>
  </si>
  <si>
    <t>酒類</t>
    <rPh sb="0" eb="2">
      <t>シュルイ</t>
    </rPh>
    <phoneticPr fontId="1"/>
  </si>
  <si>
    <t>catg_Sammelgut</t>
    <phoneticPr fontId="1"/>
  </si>
  <si>
    <t>混載貨物</t>
    <rPh sb="0" eb="4">
      <t>コンサイカモツ</t>
    </rPh>
    <phoneticPr fontId="1"/>
  </si>
  <si>
    <t>Bucher</t>
    <phoneticPr fontId="1"/>
  </si>
  <si>
    <t>書籍</t>
    <rPh sb="0" eb="2">
      <t>ショセキ</t>
    </rPh>
    <phoneticPr fontId="1"/>
  </si>
  <si>
    <t>Druckfarbe</t>
    <phoneticPr fontId="1"/>
  </si>
  <si>
    <t>印刷インキ</t>
    <rPh sb="0" eb="2">
      <t>インサツ</t>
    </rPh>
    <phoneticPr fontId="1"/>
  </si>
  <si>
    <t>Gemuse</t>
    <phoneticPr fontId="1"/>
  </si>
  <si>
    <t>野菜</t>
    <rPh sb="0" eb="2">
      <t>ヤサイ</t>
    </rPh>
    <phoneticPr fontId="1"/>
  </si>
  <si>
    <t>葉菜類</t>
    <rPh sb="0" eb="3">
      <t>ヨウサイルイ</t>
    </rPh>
    <phoneticPr fontId="1"/>
  </si>
  <si>
    <t>果菜類</t>
    <rPh sb="0" eb="3">
      <t>カサイルイ</t>
    </rPh>
    <phoneticPr fontId="1"/>
  </si>
  <si>
    <t>根菜類</t>
    <rPh sb="0" eb="3">
      <t>コンサイルイ</t>
    </rPh>
    <phoneticPr fontId="1"/>
  </si>
  <si>
    <t>Gewurze</t>
    <phoneticPr fontId="1"/>
  </si>
  <si>
    <t>香辛料</t>
    <rPh sb="0" eb="3">
      <t>コウシンリョウ</t>
    </rPh>
    <phoneticPr fontId="1"/>
  </si>
  <si>
    <t>Obst</t>
    <phoneticPr fontId="1"/>
  </si>
  <si>
    <t>果物</t>
    <rPh sb="0" eb="2">
      <t>クダモノ</t>
    </rPh>
    <phoneticPr fontId="1"/>
  </si>
  <si>
    <t>仁果類</t>
    <rPh sb="0" eb="3">
      <t>ジンカルイ</t>
    </rPh>
    <phoneticPr fontId="1"/>
  </si>
  <si>
    <t>Nusse</t>
    <phoneticPr fontId="1"/>
  </si>
  <si>
    <t>種実類</t>
    <rPh sb="0" eb="3">
      <t>シュジツルイ</t>
    </rPh>
    <phoneticPr fontId="1"/>
  </si>
  <si>
    <t>Olive</t>
    <phoneticPr fontId="1"/>
  </si>
  <si>
    <t>オリーブ</t>
    <phoneticPr fontId="1"/>
  </si>
  <si>
    <t>核果類</t>
    <rPh sb="0" eb="3">
      <t>カクカルイ</t>
    </rPh>
    <phoneticPr fontId="1"/>
  </si>
  <si>
    <t>Trauben</t>
    <phoneticPr fontId="1"/>
  </si>
  <si>
    <t>ブドウ</t>
    <phoneticPr fontId="1"/>
  </si>
  <si>
    <t>熱帯果樹</t>
    <rPh sb="0" eb="4">
      <t>ネッタイカジュ</t>
    </rPh>
    <phoneticPr fontId="1"/>
  </si>
  <si>
    <t>柑橘類</t>
    <rPh sb="0" eb="3">
      <t>カンキツルイ</t>
    </rPh>
    <phoneticPr fontId="1"/>
  </si>
  <si>
    <t>Papier</t>
    <phoneticPr fontId="1"/>
  </si>
  <si>
    <t>紙</t>
    <rPh sb="0" eb="1">
      <t>カミ</t>
    </rPh>
    <phoneticPr fontId="1"/>
  </si>
  <si>
    <t>Plastik</t>
    <phoneticPr fontId="1"/>
  </si>
  <si>
    <t>プラスチック</t>
    <phoneticPr fontId="1"/>
  </si>
  <si>
    <t>brauner_Reis</t>
    <phoneticPr fontId="1"/>
  </si>
  <si>
    <t>玄米</t>
    <rPh sb="0" eb="2">
      <t>ゲンマイ</t>
    </rPh>
    <phoneticPr fontId="1"/>
  </si>
  <si>
    <t>weisser_Reis</t>
    <phoneticPr fontId="1"/>
  </si>
  <si>
    <t>白米</t>
    <rPh sb="0" eb="2">
      <t>ハクマイ</t>
    </rPh>
    <phoneticPr fontId="1"/>
  </si>
  <si>
    <t>Sperrmull</t>
  </si>
  <si>
    <t>大型廃棄物</t>
    <rPh sb="0" eb="2">
      <t>オオガタ</t>
    </rPh>
    <rPh sb="2" eb="5">
      <t>ハイキブツ</t>
    </rPh>
    <phoneticPr fontId="1"/>
  </si>
  <si>
    <t>番号</t>
    <rPh sb="0" eb="2">
      <t>バンゴウ</t>
    </rPh>
    <phoneticPr fontId="1"/>
  </si>
  <si>
    <t>カテゴリ名</t>
    <rPh sb="4" eb="5">
      <t>メイ</t>
    </rPh>
    <phoneticPr fontId="1"/>
  </si>
  <si>
    <t>専用貨物</t>
    <rPh sb="0" eb="2">
      <t>センヨウ</t>
    </rPh>
    <rPh sb="2" eb="4">
      <t>カモツ</t>
    </rPh>
    <phoneticPr fontId="1"/>
  </si>
  <si>
    <t>冷蔵貨物</t>
    <rPh sb="0" eb="2">
      <t>レイゾウ</t>
    </rPh>
    <rPh sb="2" eb="4">
      <t>カモツ</t>
    </rPh>
    <phoneticPr fontId="1"/>
  </si>
  <si>
    <t>冷凍貨物</t>
    <rPh sb="0" eb="4">
      <t>レイトウカモツ</t>
    </rPh>
    <phoneticPr fontId="1"/>
  </si>
  <si>
    <t>ばら積み貨物</t>
    <rPh sb="2" eb="3">
      <t>ツ</t>
    </rPh>
    <rPh sb="4" eb="6">
      <t>カモツ</t>
    </rPh>
    <phoneticPr fontId="1"/>
  </si>
  <si>
    <t>粉粒体貨物</t>
    <rPh sb="0" eb="3">
      <t>フンリュウタイ</t>
    </rPh>
    <rPh sb="3" eb="5">
      <t>カモツ</t>
    </rPh>
    <phoneticPr fontId="1"/>
  </si>
  <si>
    <t>廃棄物</t>
    <rPh sb="0" eb="3">
      <t>ハイキブツ</t>
    </rPh>
    <phoneticPr fontId="1"/>
  </si>
  <si>
    <t>長物貨物</t>
    <rPh sb="0" eb="2">
      <t>ナガモノ</t>
    </rPh>
    <rPh sb="2" eb="4">
      <t>カモツ</t>
    </rPh>
    <phoneticPr fontId="1"/>
  </si>
  <si>
    <t>液体貨物</t>
    <rPh sb="0" eb="2">
      <t>エキタイ</t>
    </rPh>
    <rPh sb="2" eb="4">
      <t>カモツ</t>
    </rPh>
    <phoneticPr fontId="1"/>
  </si>
  <si>
    <t>気体貨物</t>
    <rPh sb="0" eb="2">
      <t>キタイ</t>
    </rPh>
    <rPh sb="2" eb="4">
      <t>カモツ</t>
    </rPh>
    <phoneticPr fontId="1"/>
  </si>
  <si>
    <t>（混載系）</t>
    <rPh sb="1" eb="3">
      <t>コンサイ</t>
    </rPh>
    <rPh sb="3" eb="4">
      <t>ケイ</t>
    </rPh>
    <phoneticPr fontId="1"/>
  </si>
  <si>
    <t>（ばら荷系）</t>
    <rPh sb="3" eb="4">
      <t>ニ</t>
    </rPh>
    <rPh sb="4" eb="5">
      <t>ケイ</t>
    </rPh>
    <phoneticPr fontId="1"/>
  </si>
  <si>
    <t>（タンク輸送系）</t>
    <rPh sb="4" eb="7">
      <t>ユソウケイ</t>
    </rPh>
    <phoneticPr fontId="1"/>
  </si>
  <si>
    <t>catg_Abfall</t>
    <phoneticPr fontId="1"/>
  </si>
  <si>
    <t>Abfall</t>
    <phoneticPr fontId="1"/>
  </si>
  <si>
    <t>Waren</t>
    <phoneticPr fontId="1"/>
  </si>
  <si>
    <t>雑貨</t>
    <rPh sb="0" eb="2">
      <t>ザッカ</t>
    </rPh>
    <phoneticPr fontId="1"/>
  </si>
  <si>
    <t>新聞</t>
    <rPh sb="0" eb="2">
      <t>シンブン</t>
    </rPh>
    <phoneticPr fontId="1"/>
  </si>
  <si>
    <t>Zeitung</t>
    <phoneticPr fontId="1"/>
  </si>
  <si>
    <t>小荷物</t>
    <rPh sb="0" eb="3">
      <t>コニモツ</t>
    </rPh>
    <phoneticPr fontId="1"/>
  </si>
  <si>
    <t>catg_Kleinsendungen</t>
    <phoneticPr fontId="1"/>
  </si>
  <si>
    <t>catg_Kuhlfracht</t>
    <phoneticPr fontId="1"/>
  </si>
  <si>
    <t>Bento</t>
    <phoneticPr fontId="1"/>
  </si>
  <si>
    <t>弁当</t>
    <rPh sb="0" eb="2">
      <t>ベントウ</t>
    </rPh>
    <phoneticPr fontId="1"/>
  </si>
  <si>
    <t>Fischereierzeugnisse</t>
    <phoneticPr fontId="1"/>
  </si>
  <si>
    <t>水産加工品</t>
    <rPh sb="0" eb="4">
      <t>スイサンカコウ</t>
    </rPh>
    <rPh sb="4" eb="5">
      <t>ヒン</t>
    </rPh>
    <phoneticPr fontId="1"/>
  </si>
  <si>
    <t>catg_Massenladen</t>
    <phoneticPr fontId="1"/>
  </si>
  <si>
    <t>Eisenerz</t>
    <phoneticPr fontId="1"/>
  </si>
  <si>
    <t>鉄鉱石</t>
    <rPh sb="0" eb="3">
      <t>テッコウセキ</t>
    </rPh>
    <phoneticPr fontId="1"/>
  </si>
  <si>
    <t>Kohle</t>
    <phoneticPr fontId="1"/>
  </si>
  <si>
    <t>石炭</t>
    <rPh sb="0" eb="2">
      <t>セキタン</t>
    </rPh>
    <phoneticPr fontId="1"/>
  </si>
  <si>
    <t>Zement</t>
    <phoneticPr fontId="1"/>
  </si>
  <si>
    <t>セメント</t>
    <phoneticPr fontId="1"/>
  </si>
  <si>
    <t>catg_PulverGranulate</t>
    <phoneticPr fontId="1"/>
  </si>
  <si>
    <t>Holzpane</t>
    <phoneticPr fontId="1"/>
  </si>
  <si>
    <t>木材チップ</t>
    <rPh sb="0" eb="2">
      <t>モクザイ</t>
    </rPh>
    <phoneticPr fontId="1"/>
  </si>
  <si>
    <t>catg_Langgut</t>
    <phoneticPr fontId="1"/>
  </si>
  <si>
    <t>Bretter</t>
    <phoneticPr fontId="1"/>
  </si>
  <si>
    <t>Holz</t>
    <phoneticPr fontId="1"/>
  </si>
  <si>
    <t>catg_Fisch</t>
    <phoneticPr fontId="1"/>
  </si>
  <si>
    <t>水産物</t>
    <rPh sb="0" eb="3">
      <t>スイサンブツ</t>
    </rPh>
    <phoneticPr fontId="1"/>
  </si>
  <si>
    <t>frischer_Fisch</t>
  </si>
  <si>
    <t>鮮魚</t>
    <rPh sb="0" eb="2">
      <t>センギョ</t>
    </rPh>
    <phoneticPr fontId="1"/>
  </si>
  <si>
    <t>catg_Tiefkuehlware</t>
    <phoneticPr fontId="1"/>
  </si>
  <si>
    <t>Fisch</t>
    <phoneticPr fontId="1"/>
  </si>
  <si>
    <t>魚</t>
    <rPh sb="0" eb="1">
      <t>サカナ</t>
    </rPh>
    <phoneticPr fontId="1"/>
  </si>
  <si>
    <t>catg_Flussiggut</t>
  </si>
  <si>
    <t>Benzin</t>
    <phoneticPr fontId="1"/>
  </si>
  <si>
    <t>ガソリン</t>
    <phoneticPr fontId="1"/>
  </si>
  <si>
    <t>Chemikalien</t>
    <phoneticPr fontId="1"/>
  </si>
  <si>
    <t>化成品</t>
    <rPh sb="0" eb="3">
      <t>カセイヒン</t>
    </rPh>
    <phoneticPr fontId="1"/>
  </si>
  <si>
    <t>Oel</t>
    <phoneticPr fontId="1"/>
  </si>
  <si>
    <t>原油</t>
    <rPh sb="0" eb="2">
      <t>ゲンユ</t>
    </rPh>
    <phoneticPr fontId="1"/>
  </si>
  <si>
    <t>Schwerol</t>
    <phoneticPr fontId="1"/>
  </si>
  <si>
    <t>重油</t>
    <rPh sb="0" eb="2">
      <t>ジュウユ</t>
    </rPh>
    <phoneticPr fontId="1"/>
  </si>
  <si>
    <t>Moebel</t>
  </si>
  <si>
    <t>家具</t>
    <rPh sb="0" eb="2">
      <t>カグ</t>
    </rPh>
    <phoneticPr fontId="1"/>
  </si>
  <si>
    <t>日本語名</t>
    <rPh sb="0" eb="4">
      <t>ニホンゴメイ</t>
    </rPh>
    <phoneticPr fontId="1"/>
  </si>
  <si>
    <t>単位目安</t>
    <rPh sb="0" eb="2">
      <t>タンイ</t>
    </rPh>
    <rPh sb="2" eb="4">
      <t>メヤス</t>
    </rPh>
    <phoneticPr fontId="1"/>
  </si>
  <si>
    <t>1㎥程度</t>
    <rPh sb="2" eb="4">
      <t>テイド</t>
    </rPh>
    <phoneticPr fontId="1"/>
  </si>
  <si>
    <t>0.1㎥程度</t>
    <rPh sb="4" eb="6">
      <t>テイド</t>
    </rPh>
    <phoneticPr fontId="1"/>
  </si>
  <si>
    <t>1t</t>
    <phoneticPr fontId="1"/>
  </si>
  <si>
    <t>1㎥</t>
    <phoneticPr fontId="1"/>
  </si>
  <si>
    <t>製材</t>
    <rPh sb="0" eb="2">
      <t>セイザイ</t>
    </rPh>
    <phoneticPr fontId="1"/>
  </si>
  <si>
    <t>丸太</t>
    <rPh sb="0" eb="2">
      <t>マルタ</t>
    </rPh>
    <phoneticPr fontId="1"/>
  </si>
  <si>
    <t>ゲーム内価格</t>
    <rPh sb="3" eb="4">
      <t>ナイ</t>
    </rPh>
    <rPh sb="4" eb="6">
      <t>カカク</t>
    </rPh>
    <phoneticPr fontId="1"/>
  </si>
  <si>
    <t>実際の価格</t>
    <rPh sb="0" eb="2">
      <t>ジッサイ</t>
    </rPh>
    <rPh sb="3" eb="5">
      <t>カカク</t>
    </rPh>
    <phoneticPr fontId="1"/>
  </si>
  <si>
    <t>色番号</t>
    <rPh sb="0" eb="1">
      <t>イロ</t>
    </rPh>
    <rPh sb="1" eb="3">
      <t>バンゴウ</t>
    </rPh>
    <phoneticPr fontId="1"/>
  </si>
  <si>
    <t>カラーコード</t>
    <phoneticPr fontId="1"/>
  </si>
  <si>
    <t>#244B67</t>
  </si>
  <si>
    <t>色</t>
    <rPh sb="0" eb="1">
      <t>イロ</t>
    </rPh>
    <phoneticPr fontId="1"/>
  </si>
  <si>
    <t>#395E7C</t>
    <phoneticPr fontId="1"/>
  </si>
  <si>
    <t>#4C7191</t>
  </si>
  <si>
    <t>#6084A7</t>
  </si>
  <si>
    <t>#7497BD</t>
  </si>
  <si>
    <t>#88ABD3</t>
  </si>
  <si>
    <t>#9CBEE9</t>
  </si>
  <si>
    <t>#B0D2FF</t>
  </si>
  <si>
    <t>#585858</t>
  </si>
  <si>
    <t>#6B6B6B</t>
  </si>
  <si>
    <t>#7D7D7D</t>
  </si>
  <si>
    <t>#909090</t>
  </si>
  <si>
    <t>#A2A2A2</t>
  </si>
  <si>
    <t>#B5B5B5</t>
  </si>
  <si>
    <t>#C8C8C8</t>
  </si>
  <si>
    <t>#DBDBDB</t>
  </si>
  <si>
    <t>#113785</t>
  </si>
  <si>
    <t>#1B4796</t>
  </si>
  <si>
    <t>#2556A7</t>
  </si>
  <si>
    <t>#3066B9</t>
  </si>
  <si>
    <t>#3A75CA</t>
  </si>
  <si>
    <t>#4585DC</t>
  </si>
  <si>
    <t>#4F95ED</t>
  </si>
  <si>
    <t>#5AA5FF</t>
  </si>
  <si>
    <t>#7B5803</t>
  </si>
  <si>
    <t>#8E6F04</t>
  </si>
  <si>
    <t>#A18605</t>
  </si>
  <si>
    <t>#B49D07</t>
  </si>
  <si>
    <t>#C6B408</t>
  </si>
  <si>
    <t>#D9CB0A</t>
  </si>
  <si>
    <t>#ECE20B</t>
  </si>
  <si>
    <t>#FFF90D</t>
  </si>
  <si>
    <t>#56200E</t>
  </si>
  <si>
    <t>#6E2810</t>
  </si>
  <si>
    <t>#863012</t>
  </si>
  <si>
    <t>#9E3914</t>
  </si>
  <si>
    <t>#B64116</t>
  </si>
  <si>
    <t>#CE4A18</t>
  </si>
  <si>
    <t>#E6521A</t>
  </si>
  <si>
    <t>#FF5B1C</t>
  </si>
  <si>
    <t>#223B0A</t>
  </si>
  <si>
    <t>#2C500E</t>
  </si>
  <si>
    <t>#356512</t>
  </si>
  <si>
    <t>#3F7A16</t>
  </si>
  <si>
    <t>#4D8F1D</t>
  </si>
  <si>
    <t>#5CA425</t>
  </si>
  <si>
    <t>#6AB92C</t>
  </si>
  <si>
    <t>#79CF34</t>
  </si>
  <si>
    <t>#00564E</t>
  </si>
  <si>
    <t>#006C62</t>
  </si>
  <si>
    <t>#008276</t>
  </si>
  <si>
    <t>#00988A</t>
  </si>
  <si>
    <t>#00AE9E</t>
  </si>
  <si>
    <t>#00C4B2</t>
  </si>
  <si>
    <t>#00DAC6</t>
  </si>
  <si>
    <t>#00F1DB</t>
  </si>
  <si>
    <t>#4A077A</t>
  </si>
  <si>
    <t>#5F158B</t>
  </si>
  <si>
    <t>#74259C</t>
  </si>
  <si>
    <t>#8A35AD</t>
  </si>
  <si>
    <t>#A045BF</t>
  </si>
  <si>
    <t>#B555D0</t>
  </si>
  <si>
    <t>#CB65E1</t>
  </si>
  <si>
    <t>#E175F3</t>
  </si>
  <si>
    <t>色</t>
    <rPh sb="0" eb="1">
      <t>イロ</t>
    </rPh>
    <phoneticPr fontId="1"/>
  </si>
  <si>
    <t>色番号</t>
    <rPh sb="0" eb="1">
      <t>イロ</t>
    </rPh>
    <rPh sb="1" eb="3">
      <t>バンゴウ</t>
    </rPh>
    <phoneticPr fontId="1"/>
  </si>
  <si>
    <t>色コード</t>
    <rPh sb="0" eb="1">
      <t>イロ</t>
    </rPh>
    <phoneticPr fontId="1"/>
  </si>
  <si>
    <t>#3B2900</t>
  </si>
  <si>
    <t>#533700</t>
  </si>
  <si>
    <t>#6B4500</t>
  </si>
  <si>
    <t>#835400</t>
  </si>
  <si>
    <t>#9B6200</t>
  </si>
  <si>
    <t>#B37100</t>
  </si>
  <si>
    <t>#CB8000</t>
  </si>
  <si>
    <t>#E38F00</t>
  </si>
  <si>
    <t>#57002B</t>
  </si>
  <si>
    <t>#6F0B45</t>
  </si>
  <si>
    <t>#871C5C</t>
  </si>
  <si>
    <t>#9F2D73</t>
  </si>
  <si>
    <t>#B73E8A</t>
  </si>
  <si>
    <t>#E64AAE</t>
  </si>
  <si>
    <t>#F579C2</t>
  </si>
  <si>
    <t>#FF9CD1</t>
  </si>
  <si>
    <t>#14300A</t>
  </si>
  <si>
    <t>#2C4A1C</t>
  </si>
  <si>
    <t>#44632D</t>
  </si>
  <si>
    <t>#5D7C3E</t>
  </si>
  <si>
    <t>#76954F</t>
  </si>
  <si>
    <t>#8FAE60</t>
  </si>
  <si>
    <t>#A8C771</t>
  </si>
  <si>
    <t>#C1E182</t>
  </si>
  <si>
    <t>#36131D</t>
  </si>
  <si>
    <t>#522C2C</t>
  </si>
  <si>
    <t>#6E453A</t>
  </si>
  <si>
    <t>#8B5F48</t>
  </si>
  <si>
    <t>#A87956</t>
  </si>
  <si>
    <t>#C59365</t>
  </si>
  <si>
    <t>#E2AD73</t>
  </si>
  <si>
    <t>#FFC782</t>
  </si>
  <si>
    <t>#080B64</t>
  </si>
  <si>
    <t>#0E1674</t>
  </si>
  <si>
    <t>#14218B</t>
  </si>
  <si>
    <t>#1A2CA2</t>
  </si>
  <si>
    <t>#294AB9</t>
  </si>
  <si>
    <t>#3968D0</t>
  </si>
  <si>
    <t>#4C84E7</t>
  </si>
  <si>
    <t>#60A0FF</t>
  </si>
  <si>
    <t>#2B1E2E</t>
  </si>
  <si>
    <t>#443255</t>
  </si>
  <si>
    <t>#5D466E</t>
  </si>
  <si>
    <t>#765B82</t>
  </si>
  <si>
    <t>#8F6FAA</t>
  </si>
  <si>
    <t>#A884BE</t>
  </si>
  <si>
    <t>#C199D2</t>
  </si>
  <si>
    <t>#DBAEE6</t>
  </si>
  <si>
    <t>#3F120C</t>
  </si>
  <si>
    <t>#5A261E</t>
  </si>
  <si>
    <t>#753A2A</t>
  </si>
  <si>
    <t>#914E37</t>
  </si>
  <si>
    <t>#AC6243</t>
  </si>
  <si>
    <t>#C87650</t>
  </si>
  <si>
    <t>#E38A5C</t>
  </si>
  <si>
    <t>#FF9F69</t>
  </si>
  <si>
    <t>#0B441E</t>
  </si>
  <si>
    <t>#215E38</t>
  </si>
  <si>
    <t>#367851</t>
  </si>
  <si>
    <t>#4C936A</t>
  </si>
  <si>
    <t>#62AE83</t>
  </si>
  <si>
    <t>#78C99C</t>
  </si>
  <si>
    <t>#8EE4B5</t>
  </si>
  <si>
    <t>#A4FFCF</t>
  </si>
  <si>
    <t>#400000</t>
  </si>
  <si>
    <t>#600000</t>
  </si>
  <si>
    <t>#800000</t>
  </si>
  <si>
    <t>#C00000</t>
  </si>
  <si>
    <t>#FF0000</t>
  </si>
  <si>
    <t>#FF4040</t>
  </si>
  <si>
    <t>#FF6060</t>
  </si>
  <si>
    <t>#FF8080</t>
  </si>
  <si>
    <t>#008000</t>
  </si>
  <si>
    <t>#00C400</t>
  </si>
  <si>
    <t>#00E100</t>
  </si>
  <si>
    <t>#00F000</t>
  </si>
  <si>
    <t>#00FF00</t>
  </si>
  <si>
    <t>#40FF40</t>
  </si>
  <si>
    <t>#5EFF5E</t>
  </si>
  <si>
    <t>#80FF80</t>
  </si>
  <si>
    <t>#000080</t>
  </si>
  <si>
    <t>#0000C0</t>
  </si>
  <si>
    <t>#0000E0</t>
  </si>
  <si>
    <t>#0000FF</t>
  </si>
  <si>
    <t>#0040FF</t>
  </si>
  <si>
    <t>#005EFF</t>
  </si>
  <si>
    <t>#006AFF</t>
  </si>
  <si>
    <t>#0080FF</t>
  </si>
  <si>
    <t>#804000</t>
  </si>
  <si>
    <t>#C16100</t>
  </si>
  <si>
    <t>#D76B00</t>
  </si>
  <si>
    <t>#FF8000</t>
  </si>
  <si>
    <t>#FF952B</t>
  </si>
  <si>
    <t>#FFAA55</t>
  </si>
  <si>
    <t>#FFC184</t>
  </si>
  <si>
    <t>#083400</t>
  </si>
  <si>
    <t>#104000</t>
  </si>
  <si>
    <t>#205004</t>
  </si>
  <si>
    <t>#306004</t>
  </si>
  <si>
    <t>#40700C</t>
  </si>
  <si>
    <t>#548414</t>
  </si>
  <si>
    <t>#68941C</t>
  </si>
  <si>
    <t>#80A82C</t>
  </si>
  <si>
    <t>#A4A400</t>
  </si>
  <si>
    <t>#C1C100</t>
  </si>
  <si>
    <t>#D7D700</t>
  </si>
  <si>
    <t>#FFFF00</t>
  </si>
  <si>
    <t>#FFFF20</t>
  </si>
  <si>
    <t>#FFFF40</t>
  </si>
  <si>
    <t>#FFFF80</t>
  </si>
  <si>
    <t>#FFFFAC</t>
  </si>
  <si>
    <t>#200400</t>
  </si>
  <si>
    <t>#401408</t>
  </si>
  <si>
    <t>#541C10</t>
  </si>
  <si>
    <t>#6C2C1C</t>
  </si>
  <si>
    <t>#803828</t>
  </si>
  <si>
    <t>#944838</t>
  </si>
  <si>
    <t>#A85C4C</t>
  </si>
  <si>
    <t>#B86C58</t>
  </si>
  <si>
    <t>#600800</t>
  </si>
  <si>
    <t>#701000</t>
  </si>
  <si>
    <t>#782008</t>
  </si>
  <si>
    <t>#8A4010</t>
  </si>
  <si>
    <t>#9C4820</t>
  </si>
  <si>
    <t>#AE6030</t>
  </si>
  <si>
    <t>#C08040</t>
  </si>
  <si>
    <t>#202000</t>
  </si>
  <si>
    <t>#404000</t>
  </si>
  <si>
    <t>#606000</t>
  </si>
  <si>
    <t>#808000</t>
  </si>
  <si>
    <t>#909000</t>
  </si>
  <si>
    <t>#ACAC00</t>
  </si>
  <si>
    <t>#C0C000</t>
  </si>
  <si>
    <t>#E0E000</t>
  </si>
  <si>
    <t>#406008</t>
  </si>
  <si>
    <t>#506C20</t>
  </si>
  <si>
    <t>#607830</t>
  </si>
  <si>
    <t>#709038</t>
  </si>
  <si>
    <t>#80AC40</t>
  </si>
  <si>
    <t>#96D244</t>
  </si>
  <si>
    <t>#ACEE50</t>
  </si>
  <si>
    <t>#C0FF60</t>
  </si>
  <si>
    <t>#202020</t>
  </si>
  <si>
    <t>#303030</t>
  </si>
  <si>
    <t>#404040</t>
  </si>
  <si>
    <t>#505050</t>
  </si>
  <si>
    <t>#606060</t>
  </si>
  <si>
    <t>#ACACAC</t>
  </si>
  <si>
    <t>#ECECEC</t>
  </si>
  <si>
    <t>#FFFFFF</t>
  </si>
  <si>
    <t>#292936</t>
  </si>
  <si>
    <t>#3C2D46</t>
  </si>
  <si>
    <t>#4B3E6C</t>
  </si>
  <si>
    <t>#5F4D88</t>
  </si>
  <si>
    <t>#716996</t>
  </si>
  <si>
    <t>#8778B0</t>
  </si>
  <si>
    <t>#A591DA</t>
  </si>
  <si>
    <t>#C6BFE8</t>
  </si>
  <si>
    <t>ナフサ</t>
    <phoneticPr fontId="1"/>
  </si>
  <si>
    <t>Fleisch</t>
  </si>
  <si>
    <t>精肉</t>
    <rPh sb="0" eb="2">
      <t>セイニク</t>
    </rPh>
    <phoneticPr fontId="1"/>
  </si>
  <si>
    <t>Nutztiere</t>
    <phoneticPr fontId="1"/>
  </si>
  <si>
    <t>家畜</t>
    <rPh sb="0" eb="2">
      <t>カチク</t>
    </rPh>
    <phoneticPr fontId="1"/>
  </si>
  <si>
    <t>生乳</t>
    <rPh sb="0" eb="2">
      <t>セイニュウ</t>
    </rPh>
    <phoneticPr fontId="1"/>
  </si>
  <si>
    <t>Milchprodukte</t>
    <phoneticPr fontId="1"/>
  </si>
  <si>
    <t>乳製品</t>
    <rPh sb="0" eb="3">
      <t>ニュウセイヒン</t>
    </rPh>
    <phoneticPr fontId="1"/>
  </si>
  <si>
    <t>清涼飲料水</t>
    <rPh sb="0" eb="5">
      <t>セイリョウインリョウスイ</t>
    </rPh>
    <phoneticPr fontId="1"/>
  </si>
  <si>
    <t>Getraenke</t>
    <phoneticPr fontId="1"/>
  </si>
  <si>
    <t>Kleidung</t>
  </si>
  <si>
    <t>衣類</t>
    <rPh sb="0" eb="2">
      <t>イルイ</t>
    </rPh>
    <phoneticPr fontId="1"/>
  </si>
  <si>
    <t>Faser</t>
    <phoneticPr fontId="1"/>
  </si>
  <si>
    <t>繊維</t>
    <rPh sb="0" eb="2">
      <t>センイ</t>
    </rPh>
    <phoneticPr fontId="1"/>
  </si>
  <si>
    <t>Wolle</t>
    <phoneticPr fontId="1"/>
  </si>
  <si>
    <t>羊毛</t>
    <rPh sb="0" eb="2">
      <t>ヨウモウ</t>
    </rPh>
    <phoneticPr fontId="1"/>
  </si>
  <si>
    <t>Baumwolle</t>
    <phoneticPr fontId="1"/>
  </si>
  <si>
    <t>綿花</t>
    <rPh sb="0" eb="2">
      <t>メンカ</t>
    </rPh>
    <phoneticPr fontId="1"/>
  </si>
  <si>
    <t>Gummi</t>
    <phoneticPr fontId="1"/>
  </si>
  <si>
    <t>ゴム</t>
    <phoneticPr fontId="1"/>
  </si>
  <si>
    <t>Weizen</t>
    <phoneticPr fontId="1"/>
  </si>
  <si>
    <t>麦</t>
    <rPh sb="0" eb="1">
      <t>ムギ</t>
    </rPh>
    <phoneticPr fontId="1"/>
  </si>
  <si>
    <t>籾米</t>
    <rPh sb="0" eb="2">
      <t>モミゴメ</t>
    </rPh>
    <phoneticPr fontId="1"/>
  </si>
  <si>
    <t>Sojabohnen</t>
    <phoneticPr fontId="1"/>
  </si>
  <si>
    <t>大豆</t>
    <rPh sb="0" eb="2">
      <t>ダイズ</t>
    </rPh>
    <phoneticPr fontId="1"/>
  </si>
  <si>
    <t>kern_Obst</t>
    <phoneticPr fontId="1"/>
  </si>
  <si>
    <t>tropische_Obst</t>
  </si>
  <si>
    <t>zitrus_Obst</t>
    <phoneticPr fontId="1"/>
  </si>
  <si>
    <t>wurzel_Gemuse</t>
    <phoneticPr fontId="1"/>
  </si>
  <si>
    <t>blatt_Gemuse</t>
    <phoneticPr fontId="1"/>
  </si>
  <si>
    <t>stein_Obst</t>
    <phoneticPr fontId="1"/>
  </si>
  <si>
    <t>frucht_Gemuse</t>
    <phoneticPr fontId="1"/>
  </si>
  <si>
    <t>Naphtha</t>
    <phoneticPr fontId="1"/>
  </si>
  <si>
    <t>Milch</t>
    <phoneticPr fontId="1"/>
  </si>
  <si>
    <t>roh_Reis</t>
  </si>
  <si>
    <t>―未使用―</t>
    <phoneticPr fontId="1"/>
  </si>
  <si>
    <t>貨物係数</t>
    <rPh sb="0" eb="2">
      <t>カモツ</t>
    </rPh>
    <rPh sb="2" eb="4">
      <t>ケイスウ</t>
    </rPh>
    <phoneticPr fontId="1"/>
  </si>
  <si>
    <t>価格平均</t>
    <rPh sb="0" eb="2">
      <t>カカク</t>
    </rPh>
    <rPh sb="2" eb="4">
      <t>ヘイキン</t>
    </rPh>
    <phoneticPr fontId="1"/>
  </si>
  <si>
    <t>価格最大</t>
    <rPh sb="0" eb="2">
      <t>カカク</t>
    </rPh>
    <rPh sb="2" eb="4">
      <t>サイダイ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</si>
</sst>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000000"/>
      <name val="Yu Gothic"/>
      <family val="3"/>
      <charset val="128"/>
      <scheme val="minor"/>
    </font>
    <font>
      <sz val="11"/>
      <name val="Yu Gothic"/>
      <family val="2"/>
      <scheme val="minor"/>
    </font>
    <font>
      <sz val="11"/>
      <name val="Yu Gothic"/>
      <family val="3"/>
      <charset val="128"/>
      <scheme val="minor"/>
    </font>
    <font>
      <sz val="11"/>
      <color theme="1"/>
      <name val="BIZ UD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224">
    <fill>
      <patternFill patternType="none"/>
    </fill>
    <fill>
      <patternFill patternType="gray125"/>
    </fill>
    <fill>
      <patternFill patternType="solid">
        <fgColor rgb="FF244B67"/>
        <bgColor indexed="64"/>
      </patternFill>
    </fill>
    <fill>
      <patternFill patternType="solid">
        <fgColor rgb="FF395E7C"/>
        <bgColor indexed="64"/>
      </patternFill>
    </fill>
    <fill>
      <patternFill patternType="solid">
        <fgColor rgb="FF4C7191"/>
        <bgColor indexed="64"/>
      </patternFill>
    </fill>
    <fill>
      <patternFill patternType="solid">
        <fgColor rgb="FF6084A7"/>
        <bgColor indexed="64"/>
      </patternFill>
    </fill>
    <fill>
      <patternFill patternType="solid">
        <fgColor rgb="FF7497BD"/>
        <bgColor indexed="64"/>
      </patternFill>
    </fill>
    <fill>
      <patternFill patternType="solid">
        <fgColor rgb="FF88ABD3"/>
        <bgColor indexed="64"/>
      </patternFill>
    </fill>
    <fill>
      <patternFill patternType="solid">
        <fgColor rgb="FF9CBEE9"/>
        <bgColor indexed="64"/>
      </patternFill>
    </fill>
    <fill>
      <patternFill patternType="solid">
        <fgColor rgb="FFB0D2FF"/>
        <bgColor indexed="64"/>
      </patternFill>
    </fill>
    <fill>
      <patternFill patternType="solid">
        <fgColor rgb="FF585858"/>
        <bgColor indexed="64"/>
      </patternFill>
    </fill>
    <fill>
      <patternFill patternType="solid">
        <fgColor rgb="FF6B6B6B"/>
        <bgColor indexed="64"/>
      </patternFill>
    </fill>
    <fill>
      <patternFill patternType="solid">
        <fgColor rgb="FF7D7D7D"/>
        <bgColor indexed="64"/>
      </patternFill>
    </fill>
    <fill>
      <patternFill patternType="solid">
        <fgColor rgb="FF909090"/>
        <bgColor indexed="64"/>
      </patternFill>
    </fill>
    <fill>
      <patternFill patternType="solid">
        <fgColor rgb="FFA2A2A2"/>
        <bgColor indexed="64"/>
      </patternFill>
    </fill>
    <fill>
      <patternFill patternType="solid">
        <fgColor rgb="FFB5B5B5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113785"/>
        <bgColor indexed="64"/>
      </patternFill>
    </fill>
    <fill>
      <patternFill patternType="solid">
        <fgColor rgb="FF1B4796"/>
        <bgColor indexed="64"/>
      </patternFill>
    </fill>
    <fill>
      <patternFill patternType="solid">
        <fgColor rgb="FF2556A7"/>
        <bgColor indexed="64"/>
      </patternFill>
    </fill>
    <fill>
      <patternFill patternType="solid">
        <fgColor rgb="FF3066B9"/>
        <bgColor indexed="64"/>
      </patternFill>
    </fill>
    <fill>
      <patternFill patternType="solid">
        <fgColor rgb="FF3A75CA"/>
        <bgColor indexed="64"/>
      </patternFill>
    </fill>
    <fill>
      <patternFill patternType="solid">
        <fgColor rgb="FF4585DC"/>
        <bgColor indexed="64"/>
      </patternFill>
    </fill>
    <fill>
      <patternFill patternType="solid">
        <fgColor rgb="FF4F95ED"/>
        <bgColor indexed="64"/>
      </patternFill>
    </fill>
    <fill>
      <patternFill patternType="solid">
        <fgColor rgb="FF5AA5FF"/>
        <bgColor indexed="64"/>
      </patternFill>
    </fill>
    <fill>
      <patternFill patternType="solid">
        <fgColor rgb="FF7B5803"/>
        <bgColor indexed="64"/>
      </patternFill>
    </fill>
    <fill>
      <patternFill patternType="solid">
        <fgColor rgb="FF8E6F04"/>
        <bgColor indexed="64"/>
      </patternFill>
    </fill>
    <fill>
      <patternFill patternType="solid">
        <fgColor rgb="FFA18605"/>
        <bgColor indexed="64"/>
      </patternFill>
    </fill>
    <fill>
      <patternFill patternType="solid">
        <fgColor rgb="FFB49D07"/>
        <bgColor indexed="64"/>
      </patternFill>
    </fill>
    <fill>
      <patternFill patternType="solid">
        <fgColor rgb="FFC6B408"/>
        <bgColor indexed="64"/>
      </patternFill>
    </fill>
    <fill>
      <patternFill patternType="solid">
        <fgColor rgb="FFD9CB0A"/>
        <bgColor indexed="64"/>
      </patternFill>
    </fill>
    <fill>
      <patternFill patternType="solid">
        <fgColor rgb="FFECE20B"/>
        <bgColor indexed="64"/>
      </patternFill>
    </fill>
    <fill>
      <patternFill patternType="solid">
        <fgColor rgb="FFFFF90D"/>
        <bgColor indexed="64"/>
      </patternFill>
    </fill>
    <fill>
      <patternFill patternType="solid">
        <fgColor rgb="FF56200E"/>
        <bgColor indexed="64"/>
      </patternFill>
    </fill>
    <fill>
      <patternFill patternType="solid">
        <fgColor rgb="FF6E2810"/>
        <bgColor indexed="64"/>
      </patternFill>
    </fill>
    <fill>
      <patternFill patternType="solid">
        <fgColor rgb="FF863012"/>
        <bgColor indexed="64"/>
      </patternFill>
    </fill>
    <fill>
      <patternFill patternType="solid">
        <fgColor rgb="FF9E3914"/>
        <bgColor indexed="64"/>
      </patternFill>
    </fill>
    <fill>
      <patternFill patternType="solid">
        <fgColor rgb="FFB64116"/>
        <bgColor indexed="64"/>
      </patternFill>
    </fill>
    <fill>
      <patternFill patternType="solid">
        <fgColor rgb="FFCE4A18"/>
        <bgColor indexed="64"/>
      </patternFill>
    </fill>
    <fill>
      <patternFill patternType="solid">
        <fgColor rgb="FFE6521A"/>
        <bgColor indexed="64"/>
      </patternFill>
    </fill>
    <fill>
      <patternFill patternType="solid">
        <fgColor rgb="FFFF5B1C"/>
        <bgColor indexed="64"/>
      </patternFill>
    </fill>
    <fill>
      <patternFill patternType="solid">
        <fgColor rgb="FF223B0A"/>
        <bgColor indexed="64"/>
      </patternFill>
    </fill>
    <fill>
      <patternFill patternType="solid">
        <fgColor rgb="FF2C500E"/>
        <bgColor indexed="64"/>
      </patternFill>
    </fill>
    <fill>
      <patternFill patternType="solid">
        <fgColor rgb="FF356512"/>
        <bgColor indexed="64"/>
      </patternFill>
    </fill>
    <fill>
      <patternFill patternType="solid">
        <fgColor rgb="FF3F7A16"/>
        <bgColor indexed="64"/>
      </patternFill>
    </fill>
    <fill>
      <patternFill patternType="solid">
        <fgColor rgb="FF4D8F1D"/>
        <bgColor indexed="64"/>
      </patternFill>
    </fill>
    <fill>
      <patternFill patternType="solid">
        <fgColor rgb="FF5CA425"/>
        <bgColor indexed="64"/>
      </patternFill>
    </fill>
    <fill>
      <patternFill patternType="solid">
        <fgColor rgb="FF6AB92C"/>
        <bgColor indexed="64"/>
      </patternFill>
    </fill>
    <fill>
      <patternFill patternType="solid">
        <fgColor rgb="FF79CF34"/>
        <bgColor indexed="64"/>
      </patternFill>
    </fill>
    <fill>
      <patternFill patternType="solid">
        <fgColor rgb="FF00564E"/>
        <bgColor indexed="64"/>
      </patternFill>
    </fill>
    <fill>
      <patternFill patternType="solid">
        <fgColor rgb="FF006C62"/>
        <bgColor indexed="64"/>
      </patternFill>
    </fill>
    <fill>
      <patternFill patternType="solid">
        <fgColor rgb="FF008276"/>
        <bgColor indexed="64"/>
      </patternFill>
    </fill>
    <fill>
      <patternFill patternType="solid">
        <fgColor rgb="FF00988A"/>
        <bgColor indexed="64"/>
      </patternFill>
    </fill>
    <fill>
      <patternFill patternType="solid">
        <fgColor rgb="FF00AE9E"/>
        <bgColor indexed="64"/>
      </patternFill>
    </fill>
    <fill>
      <patternFill patternType="solid">
        <fgColor rgb="FF00C4B2"/>
        <bgColor indexed="64"/>
      </patternFill>
    </fill>
    <fill>
      <patternFill patternType="solid">
        <fgColor rgb="FF00DAC6"/>
        <bgColor indexed="64"/>
      </patternFill>
    </fill>
    <fill>
      <patternFill patternType="solid">
        <fgColor rgb="FF00F1DB"/>
        <bgColor indexed="64"/>
      </patternFill>
    </fill>
    <fill>
      <patternFill patternType="solid">
        <fgColor rgb="FF4A077A"/>
        <bgColor indexed="64"/>
      </patternFill>
    </fill>
    <fill>
      <patternFill patternType="solid">
        <fgColor rgb="FF5F158B"/>
        <bgColor indexed="64"/>
      </patternFill>
    </fill>
    <fill>
      <patternFill patternType="solid">
        <fgColor rgb="FF74259C"/>
        <bgColor indexed="64"/>
      </patternFill>
    </fill>
    <fill>
      <patternFill patternType="solid">
        <fgColor rgb="FF8A35AD"/>
        <bgColor indexed="64"/>
      </patternFill>
    </fill>
    <fill>
      <patternFill patternType="solid">
        <fgColor rgb="FFA045BF"/>
        <bgColor indexed="64"/>
      </patternFill>
    </fill>
    <fill>
      <patternFill patternType="solid">
        <fgColor rgb="FFB555D0"/>
        <bgColor indexed="64"/>
      </patternFill>
    </fill>
    <fill>
      <patternFill patternType="solid">
        <fgColor rgb="FFCB65E1"/>
        <bgColor indexed="64"/>
      </patternFill>
    </fill>
    <fill>
      <patternFill patternType="solid">
        <fgColor rgb="FFE175F3"/>
        <bgColor indexed="64"/>
      </patternFill>
    </fill>
    <fill>
      <patternFill patternType="solid">
        <fgColor rgb="FF3B2900"/>
        <bgColor indexed="64"/>
      </patternFill>
    </fill>
    <fill>
      <patternFill patternType="solid">
        <fgColor rgb="FF533700"/>
        <bgColor indexed="64"/>
      </patternFill>
    </fill>
    <fill>
      <patternFill patternType="solid">
        <fgColor rgb="FF6B4500"/>
        <bgColor indexed="64"/>
      </patternFill>
    </fill>
    <fill>
      <patternFill patternType="solid">
        <fgColor rgb="FF835400"/>
        <bgColor indexed="64"/>
      </patternFill>
    </fill>
    <fill>
      <patternFill patternType="solid">
        <fgColor rgb="FF9B6200"/>
        <bgColor indexed="64"/>
      </patternFill>
    </fill>
    <fill>
      <patternFill patternType="solid">
        <fgColor rgb="FFB37100"/>
        <bgColor indexed="64"/>
      </patternFill>
    </fill>
    <fill>
      <patternFill patternType="solid">
        <fgColor rgb="FFCB8000"/>
        <bgColor indexed="64"/>
      </patternFill>
    </fill>
    <fill>
      <patternFill patternType="solid">
        <fgColor rgb="FFE38F00"/>
        <bgColor indexed="64"/>
      </patternFill>
    </fill>
    <fill>
      <patternFill patternType="solid">
        <fgColor rgb="FF57002B"/>
        <bgColor indexed="64"/>
      </patternFill>
    </fill>
    <fill>
      <patternFill patternType="solid">
        <fgColor rgb="FF6F0B45"/>
        <bgColor indexed="64"/>
      </patternFill>
    </fill>
    <fill>
      <patternFill patternType="solid">
        <fgColor rgb="FF871C5C"/>
        <bgColor indexed="64"/>
      </patternFill>
    </fill>
    <fill>
      <patternFill patternType="solid">
        <fgColor rgb="FF9F2D73"/>
        <bgColor indexed="64"/>
      </patternFill>
    </fill>
    <fill>
      <patternFill patternType="solid">
        <fgColor rgb="FFB73E8A"/>
        <bgColor indexed="64"/>
      </patternFill>
    </fill>
    <fill>
      <patternFill patternType="solid">
        <fgColor rgb="FFE64AAE"/>
        <bgColor indexed="64"/>
      </patternFill>
    </fill>
    <fill>
      <patternFill patternType="solid">
        <fgColor rgb="FFF579C2"/>
        <bgColor indexed="64"/>
      </patternFill>
    </fill>
    <fill>
      <patternFill patternType="solid">
        <fgColor rgb="FFFF9CD1"/>
        <bgColor indexed="64"/>
      </patternFill>
    </fill>
    <fill>
      <patternFill patternType="solid">
        <fgColor rgb="FF14300A"/>
        <bgColor indexed="64"/>
      </patternFill>
    </fill>
    <fill>
      <patternFill patternType="solid">
        <fgColor rgb="FF2C4A1C"/>
        <bgColor indexed="64"/>
      </patternFill>
    </fill>
    <fill>
      <patternFill patternType="solid">
        <fgColor rgb="FF44632D"/>
        <bgColor indexed="64"/>
      </patternFill>
    </fill>
    <fill>
      <patternFill patternType="solid">
        <fgColor rgb="FF5D7C3E"/>
        <bgColor indexed="64"/>
      </patternFill>
    </fill>
    <fill>
      <patternFill patternType="solid">
        <fgColor rgb="FF76954F"/>
        <bgColor indexed="64"/>
      </patternFill>
    </fill>
    <fill>
      <patternFill patternType="solid">
        <fgColor rgb="FF8FAE60"/>
        <bgColor indexed="64"/>
      </patternFill>
    </fill>
    <fill>
      <patternFill patternType="solid">
        <fgColor rgb="FFA8C771"/>
        <bgColor indexed="64"/>
      </patternFill>
    </fill>
    <fill>
      <patternFill patternType="solid">
        <fgColor rgb="FFC1E182"/>
        <bgColor indexed="64"/>
      </patternFill>
    </fill>
    <fill>
      <patternFill patternType="solid">
        <fgColor rgb="FF36131D"/>
        <bgColor indexed="64"/>
      </patternFill>
    </fill>
    <fill>
      <patternFill patternType="solid">
        <fgColor rgb="FF522C2C"/>
        <bgColor indexed="64"/>
      </patternFill>
    </fill>
    <fill>
      <patternFill patternType="solid">
        <fgColor rgb="FF6E453A"/>
        <bgColor indexed="64"/>
      </patternFill>
    </fill>
    <fill>
      <patternFill patternType="solid">
        <fgColor rgb="FF8B5F48"/>
        <bgColor indexed="64"/>
      </patternFill>
    </fill>
    <fill>
      <patternFill patternType="solid">
        <fgColor rgb="FFA87956"/>
        <bgColor indexed="64"/>
      </patternFill>
    </fill>
    <fill>
      <patternFill patternType="solid">
        <fgColor rgb="FFC59365"/>
        <bgColor indexed="64"/>
      </patternFill>
    </fill>
    <fill>
      <patternFill patternType="solid">
        <fgColor rgb="FFE2AD73"/>
        <bgColor indexed="64"/>
      </patternFill>
    </fill>
    <fill>
      <patternFill patternType="solid">
        <fgColor rgb="FFFFC782"/>
        <bgColor indexed="64"/>
      </patternFill>
    </fill>
    <fill>
      <patternFill patternType="solid">
        <fgColor rgb="FF080B64"/>
        <bgColor indexed="64"/>
      </patternFill>
    </fill>
    <fill>
      <patternFill patternType="solid">
        <fgColor rgb="FF0E1674"/>
        <bgColor indexed="64"/>
      </patternFill>
    </fill>
    <fill>
      <patternFill patternType="solid">
        <fgColor rgb="FF14218B"/>
        <bgColor indexed="64"/>
      </patternFill>
    </fill>
    <fill>
      <patternFill patternType="solid">
        <fgColor rgb="FF1A2CA2"/>
        <bgColor indexed="64"/>
      </patternFill>
    </fill>
    <fill>
      <patternFill patternType="solid">
        <fgColor rgb="FF294AB9"/>
        <bgColor indexed="64"/>
      </patternFill>
    </fill>
    <fill>
      <patternFill patternType="solid">
        <fgColor rgb="FF3968D0"/>
        <bgColor indexed="64"/>
      </patternFill>
    </fill>
    <fill>
      <patternFill patternType="solid">
        <fgColor rgb="FF4C84E7"/>
        <bgColor indexed="64"/>
      </patternFill>
    </fill>
    <fill>
      <patternFill patternType="solid">
        <fgColor rgb="FF60A0FF"/>
        <bgColor indexed="64"/>
      </patternFill>
    </fill>
    <fill>
      <patternFill patternType="solid">
        <fgColor rgb="FF2B1E2E"/>
        <bgColor indexed="64"/>
      </patternFill>
    </fill>
    <fill>
      <patternFill patternType="solid">
        <fgColor rgb="FF443255"/>
        <bgColor indexed="64"/>
      </patternFill>
    </fill>
    <fill>
      <patternFill patternType="solid">
        <fgColor rgb="FF5D466E"/>
        <bgColor indexed="64"/>
      </patternFill>
    </fill>
    <fill>
      <patternFill patternType="solid">
        <fgColor rgb="FF765B82"/>
        <bgColor indexed="64"/>
      </patternFill>
    </fill>
    <fill>
      <patternFill patternType="solid">
        <fgColor rgb="FF8F6FAA"/>
        <bgColor indexed="64"/>
      </patternFill>
    </fill>
    <fill>
      <patternFill patternType="solid">
        <fgColor rgb="FFA884BE"/>
        <bgColor indexed="64"/>
      </patternFill>
    </fill>
    <fill>
      <patternFill patternType="solid">
        <fgColor rgb="FFC199D2"/>
        <bgColor indexed="64"/>
      </patternFill>
    </fill>
    <fill>
      <patternFill patternType="solid">
        <fgColor rgb="FFDBAEE6"/>
        <bgColor indexed="64"/>
      </patternFill>
    </fill>
    <fill>
      <patternFill patternType="solid">
        <fgColor rgb="FF3F120C"/>
        <bgColor indexed="64"/>
      </patternFill>
    </fill>
    <fill>
      <patternFill patternType="solid">
        <fgColor rgb="FF5A261E"/>
        <bgColor indexed="64"/>
      </patternFill>
    </fill>
    <fill>
      <patternFill patternType="solid">
        <fgColor rgb="FF753A2A"/>
        <bgColor indexed="64"/>
      </patternFill>
    </fill>
    <fill>
      <patternFill patternType="solid">
        <fgColor rgb="FF914E37"/>
        <bgColor indexed="64"/>
      </patternFill>
    </fill>
    <fill>
      <patternFill patternType="solid">
        <fgColor rgb="FFAC6243"/>
        <bgColor indexed="64"/>
      </patternFill>
    </fill>
    <fill>
      <patternFill patternType="solid">
        <fgColor rgb="FFC87650"/>
        <bgColor indexed="64"/>
      </patternFill>
    </fill>
    <fill>
      <patternFill patternType="solid">
        <fgColor rgb="FFE38A5C"/>
        <bgColor indexed="64"/>
      </patternFill>
    </fill>
    <fill>
      <patternFill patternType="solid">
        <fgColor rgb="FFFF9F69"/>
        <bgColor indexed="64"/>
      </patternFill>
    </fill>
    <fill>
      <patternFill patternType="solid">
        <fgColor rgb="FF0B441E"/>
        <bgColor indexed="64"/>
      </patternFill>
    </fill>
    <fill>
      <patternFill patternType="solid">
        <fgColor rgb="FF215E38"/>
        <bgColor indexed="64"/>
      </patternFill>
    </fill>
    <fill>
      <patternFill patternType="solid">
        <fgColor rgb="FF367851"/>
        <bgColor indexed="64"/>
      </patternFill>
    </fill>
    <fill>
      <patternFill patternType="solid">
        <fgColor rgb="FF4C936A"/>
        <bgColor indexed="64"/>
      </patternFill>
    </fill>
    <fill>
      <patternFill patternType="solid">
        <fgColor rgb="FF62AE83"/>
        <bgColor indexed="64"/>
      </patternFill>
    </fill>
    <fill>
      <patternFill patternType="solid">
        <fgColor rgb="FF78C99C"/>
        <bgColor indexed="64"/>
      </patternFill>
    </fill>
    <fill>
      <patternFill patternType="solid">
        <fgColor rgb="FF8EE4B5"/>
        <bgColor indexed="64"/>
      </patternFill>
    </fill>
    <fill>
      <patternFill patternType="solid">
        <fgColor rgb="FFA4FFCF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6000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C400"/>
        <bgColor indexed="64"/>
      </patternFill>
    </fill>
    <fill>
      <patternFill patternType="solid">
        <fgColor rgb="FF00E100"/>
        <bgColor indexed="64"/>
      </patternFill>
    </fill>
    <fill>
      <patternFill patternType="solid">
        <fgColor rgb="FF00F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40FF40"/>
        <bgColor indexed="64"/>
      </patternFill>
    </fill>
    <fill>
      <patternFill patternType="solid">
        <fgColor rgb="FF5EFF5E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0000C0"/>
        <bgColor indexed="64"/>
      </patternFill>
    </fill>
    <fill>
      <patternFill patternType="solid">
        <fgColor rgb="FF0000E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40FF"/>
        <bgColor indexed="64"/>
      </patternFill>
    </fill>
    <fill>
      <patternFill patternType="solid">
        <fgColor rgb="FF005EFF"/>
        <bgColor indexed="64"/>
      </patternFill>
    </fill>
    <fill>
      <patternFill patternType="solid">
        <fgColor rgb="FF006AFF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804000"/>
        <bgColor indexed="64"/>
      </patternFill>
    </fill>
    <fill>
      <patternFill patternType="solid">
        <fgColor rgb="FFC16100"/>
        <bgColor indexed="64"/>
      </patternFill>
    </fill>
    <fill>
      <patternFill patternType="solid">
        <fgColor rgb="FFD76B00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rgb="FFFF952B"/>
        <bgColor indexed="64"/>
      </patternFill>
    </fill>
    <fill>
      <patternFill patternType="solid">
        <fgColor rgb="FFFFAA55"/>
        <bgColor indexed="64"/>
      </patternFill>
    </fill>
    <fill>
      <patternFill patternType="solid">
        <fgColor rgb="FFFFC184"/>
        <bgColor indexed="64"/>
      </patternFill>
    </fill>
    <fill>
      <patternFill patternType="solid">
        <fgColor rgb="FF083400"/>
        <bgColor indexed="64"/>
      </patternFill>
    </fill>
    <fill>
      <patternFill patternType="solid">
        <fgColor rgb="FF104000"/>
        <bgColor indexed="64"/>
      </patternFill>
    </fill>
    <fill>
      <patternFill patternType="solid">
        <fgColor rgb="FF205004"/>
        <bgColor indexed="64"/>
      </patternFill>
    </fill>
    <fill>
      <patternFill patternType="solid">
        <fgColor rgb="FF306004"/>
        <bgColor indexed="64"/>
      </patternFill>
    </fill>
    <fill>
      <patternFill patternType="solid">
        <fgColor rgb="FF40700C"/>
        <bgColor indexed="64"/>
      </patternFill>
    </fill>
    <fill>
      <patternFill patternType="solid">
        <fgColor rgb="FF548414"/>
        <bgColor indexed="64"/>
      </patternFill>
    </fill>
    <fill>
      <patternFill patternType="solid">
        <fgColor rgb="FF68941C"/>
        <bgColor indexed="64"/>
      </patternFill>
    </fill>
    <fill>
      <patternFill patternType="solid">
        <fgColor rgb="FF80A82C"/>
        <bgColor indexed="64"/>
      </patternFill>
    </fill>
    <fill>
      <patternFill patternType="solid">
        <fgColor rgb="FFA4A400"/>
        <bgColor indexed="64"/>
      </patternFill>
    </fill>
    <fill>
      <patternFill patternType="solid">
        <fgColor rgb="FFC1C100"/>
        <bgColor indexed="64"/>
      </patternFill>
    </fill>
    <fill>
      <patternFill patternType="solid">
        <fgColor rgb="FFD7D7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20"/>
        <bgColor indexed="64"/>
      </patternFill>
    </fill>
    <fill>
      <patternFill patternType="solid">
        <fgColor rgb="FFFFFF4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FFAC"/>
        <bgColor indexed="64"/>
      </patternFill>
    </fill>
    <fill>
      <patternFill patternType="solid">
        <fgColor rgb="FF200400"/>
        <bgColor indexed="64"/>
      </patternFill>
    </fill>
    <fill>
      <patternFill patternType="solid">
        <fgColor rgb="FF401408"/>
        <bgColor indexed="64"/>
      </patternFill>
    </fill>
    <fill>
      <patternFill patternType="solid">
        <fgColor rgb="FF541C10"/>
        <bgColor indexed="64"/>
      </patternFill>
    </fill>
    <fill>
      <patternFill patternType="solid">
        <fgColor rgb="FF6C2C1C"/>
        <bgColor indexed="64"/>
      </patternFill>
    </fill>
    <fill>
      <patternFill patternType="solid">
        <fgColor rgb="FF803828"/>
        <bgColor indexed="64"/>
      </patternFill>
    </fill>
    <fill>
      <patternFill patternType="solid">
        <fgColor rgb="FF944838"/>
        <bgColor indexed="64"/>
      </patternFill>
    </fill>
    <fill>
      <patternFill patternType="solid">
        <fgColor rgb="FFA85C4C"/>
        <bgColor indexed="64"/>
      </patternFill>
    </fill>
    <fill>
      <patternFill patternType="solid">
        <fgColor rgb="FFB86C58"/>
        <bgColor indexed="64"/>
      </patternFill>
    </fill>
    <fill>
      <patternFill patternType="solid">
        <fgColor rgb="FF600800"/>
        <bgColor indexed="64"/>
      </patternFill>
    </fill>
    <fill>
      <patternFill patternType="solid">
        <fgColor rgb="FF701000"/>
        <bgColor indexed="64"/>
      </patternFill>
    </fill>
    <fill>
      <patternFill patternType="solid">
        <fgColor rgb="FF782008"/>
        <bgColor indexed="64"/>
      </patternFill>
    </fill>
    <fill>
      <patternFill patternType="solid">
        <fgColor rgb="FF8A4010"/>
        <bgColor indexed="64"/>
      </patternFill>
    </fill>
    <fill>
      <patternFill patternType="solid">
        <fgColor rgb="FF9C4820"/>
        <bgColor indexed="64"/>
      </patternFill>
    </fill>
    <fill>
      <patternFill patternType="solid">
        <fgColor rgb="FFAE6030"/>
        <bgColor indexed="64"/>
      </patternFill>
    </fill>
    <fill>
      <patternFill patternType="solid">
        <fgColor rgb="FFC08040"/>
        <bgColor indexed="64"/>
      </patternFill>
    </fill>
    <fill>
      <patternFill patternType="solid">
        <fgColor rgb="FF202000"/>
        <bgColor indexed="64"/>
      </patternFill>
    </fill>
    <fill>
      <patternFill patternType="solid">
        <fgColor rgb="FF404000"/>
        <bgColor indexed="64"/>
      </patternFill>
    </fill>
    <fill>
      <patternFill patternType="solid">
        <fgColor rgb="FF60600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909000"/>
        <bgColor indexed="64"/>
      </patternFill>
    </fill>
    <fill>
      <patternFill patternType="solid">
        <fgColor rgb="FFACAC00"/>
        <bgColor indexed="64"/>
      </patternFill>
    </fill>
    <fill>
      <patternFill patternType="solid">
        <fgColor rgb="FFC0C000"/>
        <bgColor indexed="64"/>
      </patternFill>
    </fill>
    <fill>
      <patternFill patternType="solid">
        <fgColor rgb="FFE0E000"/>
        <bgColor indexed="64"/>
      </patternFill>
    </fill>
    <fill>
      <patternFill patternType="solid">
        <fgColor rgb="FF406008"/>
        <bgColor indexed="64"/>
      </patternFill>
    </fill>
    <fill>
      <patternFill patternType="solid">
        <fgColor rgb="FF506C20"/>
        <bgColor indexed="64"/>
      </patternFill>
    </fill>
    <fill>
      <patternFill patternType="solid">
        <fgColor rgb="FF607830"/>
        <bgColor indexed="64"/>
      </patternFill>
    </fill>
    <fill>
      <patternFill patternType="solid">
        <fgColor rgb="FF709038"/>
        <bgColor indexed="64"/>
      </patternFill>
    </fill>
    <fill>
      <patternFill patternType="solid">
        <fgColor rgb="FF80AC40"/>
        <bgColor indexed="64"/>
      </patternFill>
    </fill>
    <fill>
      <patternFill patternType="solid">
        <fgColor rgb="FF96D244"/>
        <bgColor indexed="64"/>
      </patternFill>
    </fill>
    <fill>
      <patternFill patternType="solid">
        <fgColor rgb="FFACEE50"/>
        <bgColor indexed="64"/>
      </patternFill>
    </fill>
    <fill>
      <patternFill patternType="solid">
        <fgColor rgb="FFC0FF60"/>
        <bgColor indexed="64"/>
      </patternFill>
    </fill>
    <fill>
      <patternFill patternType="solid">
        <fgColor rgb="FF202020"/>
        <bgColor indexed="64"/>
      </patternFill>
    </fill>
    <fill>
      <patternFill patternType="solid">
        <fgColor rgb="FF30303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505050"/>
        <bgColor indexed="64"/>
      </patternFill>
    </fill>
    <fill>
      <patternFill patternType="solid">
        <fgColor rgb="FF606060"/>
        <bgColor indexed="64"/>
      </patternFill>
    </fill>
    <fill>
      <patternFill patternType="solid">
        <fgColor rgb="FFACACAC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92936"/>
        <bgColor indexed="64"/>
      </patternFill>
    </fill>
    <fill>
      <patternFill patternType="solid">
        <fgColor rgb="FF3C2D46"/>
        <bgColor indexed="64"/>
      </patternFill>
    </fill>
    <fill>
      <patternFill patternType="solid">
        <fgColor rgb="FF4B3E6C"/>
        <bgColor indexed="64"/>
      </patternFill>
    </fill>
    <fill>
      <patternFill patternType="solid">
        <fgColor rgb="FF5F4D88"/>
        <bgColor indexed="64"/>
      </patternFill>
    </fill>
    <fill>
      <patternFill patternType="solid">
        <fgColor rgb="FF716996"/>
        <bgColor indexed="64"/>
      </patternFill>
    </fill>
    <fill>
      <patternFill patternType="solid">
        <fgColor rgb="FF8778B0"/>
        <bgColor indexed="64"/>
      </patternFill>
    </fill>
    <fill>
      <patternFill patternType="solid">
        <fgColor rgb="FFA591DA"/>
        <bgColor indexed="64"/>
      </patternFill>
    </fill>
    <fill>
      <patternFill patternType="solid">
        <fgColor rgb="FFC6BFE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5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2" fillId="0" borderId="0" xfId="0" applyFont="1"/>
    <xf numFmtId="0" fontId="0" fillId="0" borderId="1" xfId="0" applyBorder="1" applyAlignment="1">
      <alignment wrapText="1"/>
    </xf>
    <xf numFmtId="0" fontId="3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4" fillId="9" borderId="0" xfId="0" applyFont="1" applyFill="1"/>
    <xf numFmtId="0" fontId="4" fillId="10" borderId="0" xfId="0" applyFont="1" applyFill="1"/>
    <xf numFmtId="0" fontId="4" fillId="11" borderId="0" xfId="0" applyFont="1" applyFill="1"/>
    <xf numFmtId="0" fontId="4" fillId="12" borderId="0" xfId="0" applyFont="1" applyFill="1"/>
    <xf numFmtId="0" fontId="4" fillId="13" borderId="0" xfId="0" applyFont="1" applyFill="1"/>
    <xf numFmtId="0" fontId="4" fillId="14" borderId="0" xfId="0" applyFont="1" applyFill="1"/>
    <xf numFmtId="0" fontId="4" fillId="15" borderId="0" xfId="0" applyFont="1" applyFill="1"/>
    <xf numFmtId="0" fontId="4" fillId="16" borderId="0" xfId="0" applyFont="1" applyFill="1"/>
    <xf numFmtId="0" fontId="4" fillId="17" borderId="0" xfId="0" applyFont="1" applyFill="1"/>
    <xf numFmtId="0" fontId="4" fillId="18" borderId="0" xfId="0" applyFont="1" applyFill="1"/>
    <xf numFmtId="0" fontId="4" fillId="19" borderId="0" xfId="0" applyFont="1" applyFill="1"/>
    <xf numFmtId="0" fontId="4" fillId="20" borderId="0" xfId="0" applyFont="1" applyFill="1"/>
    <xf numFmtId="0" fontId="4" fillId="21" borderId="0" xfId="0" applyFont="1" applyFill="1"/>
    <xf numFmtId="0" fontId="4" fillId="22" borderId="0" xfId="0" applyFont="1" applyFill="1"/>
    <xf numFmtId="0" fontId="4" fillId="23" borderId="0" xfId="0" applyFont="1" applyFill="1"/>
    <xf numFmtId="0" fontId="4" fillId="24" borderId="0" xfId="0" applyFont="1" applyFill="1"/>
    <xf numFmtId="0" fontId="4" fillId="25" borderId="0" xfId="0" applyFont="1" applyFill="1"/>
    <xf numFmtId="0" fontId="4" fillId="26" borderId="0" xfId="0" applyFont="1" applyFill="1"/>
    <xf numFmtId="0" fontId="4" fillId="27" borderId="0" xfId="0" applyFont="1" applyFill="1"/>
    <xf numFmtId="0" fontId="4" fillId="28" borderId="0" xfId="0" applyFont="1" applyFill="1"/>
    <xf numFmtId="0" fontId="4" fillId="29" borderId="0" xfId="0" applyFont="1" applyFill="1"/>
    <xf numFmtId="0" fontId="4" fillId="30" borderId="0" xfId="0" applyFont="1" applyFill="1"/>
    <xf numFmtId="0" fontId="4" fillId="31" borderId="0" xfId="0" applyFont="1" applyFill="1"/>
    <xf numFmtId="0" fontId="4" fillId="32" borderId="0" xfId="0" applyFont="1" applyFill="1"/>
    <xf numFmtId="0" fontId="4" fillId="33" borderId="0" xfId="0" applyFont="1" applyFill="1"/>
    <xf numFmtId="0" fontId="4" fillId="34" borderId="0" xfId="0" applyFont="1" applyFill="1"/>
    <xf numFmtId="0" fontId="4" fillId="35" borderId="0" xfId="0" applyFont="1" applyFill="1"/>
    <xf numFmtId="0" fontId="4" fillId="36" borderId="0" xfId="0" applyFont="1" applyFill="1"/>
    <xf numFmtId="0" fontId="4" fillId="37" borderId="0" xfId="0" applyFont="1" applyFill="1"/>
    <xf numFmtId="0" fontId="4" fillId="38" borderId="0" xfId="0" applyFont="1" applyFill="1"/>
    <xf numFmtId="0" fontId="4" fillId="39" borderId="0" xfId="0" applyFont="1" applyFill="1"/>
    <xf numFmtId="0" fontId="4" fillId="40" borderId="0" xfId="0" applyFont="1" applyFill="1"/>
    <xf numFmtId="0" fontId="4" fillId="41" borderId="0" xfId="0" applyFont="1" applyFill="1"/>
    <xf numFmtId="0" fontId="4" fillId="42" borderId="0" xfId="0" applyFont="1" applyFill="1"/>
    <xf numFmtId="0" fontId="4" fillId="43" borderId="0" xfId="0" applyFont="1" applyFill="1"/>
    <xf numFmtId="0" fontId="4" fillId="44" borderId="0" xfId="0" applyFont="1" applyFill="1"/>
    <xf numFmtId="0" fontId="4" fillId="45" borderId="0" xfId="0" applyFont="1" applyFill="1"/>
    <xf numFmtId="0" fontId="4" fillId="46" borderId="0" xfId="0" applyFont="1" applyFill="1"/>
    <xf numFmtId="0" fontId="4" fillId="47" borderId="0" xfId="0" applyFont="1" applyFill="1"/>
    <xf numFmtId="0" fontId="4" fillId="48" borderId="0" xfId="0" applyFont="1" applyFill="1"/>
    <xf numFmtId="0" fontId="4" fillId="49" borderId="0" xfId="0" applyFont="1" applyFill="1"/>
    <xf numFmtId="0" fontId="4" fillId="50" borderId="0" xfId="0" applyFont="1" applyFill="1"/>
    <xf numFmtId="0" fontId="4" fillId="51" borderId="0" xfId="0" applyFont="1" applyFill="1"/>
    <xf numFmtId="0" fontId="4" fillId="52" borderId="0" xfId="0" applyFont="1" applyFill="1"/>
    <xf numFmtId="0" fontId="4" fillId="53" borderId="0" xfId="0" applyFont="1" applyFill="1"/>
    <xf numFmtId="0" fontId="4" fillId="54" borderId="0" xfId="0" applyFont="1" applyFill="1"/>
    <xf numFmtId="0" fontId="4" fillId="55" borderId="0" xfId="0" applyFont="1" applyFill="1"/>
    <xf numFmtId="0" fontId="4" fillId="56" borderId="0" xfId="0" applyFont="1" applyFill="1"/>
    <xf numFmtId="0" fontId="4" fillId="57" borderId="0" xfId="0" applyFont="1" applyFill="1"/>
    <xf numFmtId="0" fontId="4" fillId="58" borderId="0" xfId="0" applyFont="1" applyFill="1"/>
    <xf numFmtId="0" fontId="4" fillId="59" borderId="0" xfId="0" applyFont="1" applyFill="1"/>
    <xf numFmtId="0" fontId="4" fillId="60" borderId="0" xfId="0" applyFont="1" applyFill="1"/>
    <xf numFmtId="0" fontId="4" fillId="61" borderId="0" xfId="0" applyFont="1" applyFill="1"/>
    <xf numFmtId="0" fontId="4" fillId="62" borderId="0" xfId="0" applyFont="1" applyFill="1"/>
    <xf numFmtId="0" fontId="4" fillId="63" borderId="0" xfId="0" applyFont="1" applyFill="1"/>
    <xf numFmtId="0" fontId="4" fillId="64" borderId="0" xfId="0" applyFont="1" applyFill="1"/>
    <xf numFmtId="0" fontId="4" fillId="65" borderId="0" xfId="0" applyFont="1" applyFill="1"/>
    <xf numFmtId="0" fontId="4" fillId="66" borderId="0" xfId="0" applyFont="1" applyFill="1"/>
    <xf numFmtId="0" fontId="4" fillId="67" borderId="0" xfId="0" applyFont="1" applyFill="1"/>
    <xf numFmtId="0" fontId="4" fillId="68" borderId="0" xfId="0" applyFont="1" applyFill="1"/>
    <xf numFmtId="0" fontId="4" fillId="69" borderId="0" xfId="0" applyFont="1" applyFill="1"/>
    <xf numFmtId="0" fontId="4" fillId="70" borderId="0" xfId="0" applyFont="1" applyFill="1"/>
    <xf numFmtId="0" fontId="4" fillId="71" borderId="0" xfId="0" applyFont="1" applyFill="1"/>
    <xf numFmtId="0" fontId="4" fillId="72" borderId="0" xfId="0" applyFont="1" applyFill="1"/>
    <xf numFmtId="0" fontId="4" fillId="73" borderId="0" xfId="0" applyFont="1" applyFill="1"/>
    <xf numFmtId="0" fontId="4" fillId="74" borderId="0" xfId="0" applyFont="1" applyFill="1"/>
    <xf numFmtId="0" fontId="4" fillId="75" borderId="0" xfId="0" applyFont="1" applyFill="1"/>
    <xf numFmtId="0" fontId="4" fillId="76" borderId="0" xfId="0" applyFont="1" applyFill="1"/>
    <xf numFmtId="0" fontId="4" fillId="77" borderId="0" xfId="0" applyFont="1" applyFill="1"/>
    <xf numFmtId="0" fontId="4" fillId="78" borderId="0" xfId="0" applyFont="1" applyFill="1"/>
    <xf numFmtId="0" fontId="4" fillId="79" borderId="0" xfId="0" applyFont="1" applyFill="1"/>
    <xf numFmtId="0" fontId="4" fillId="80" borderId="0" xfId="0" applyFont="1" applyFill="1"/>
    <xf numFmtId="0" fontId="4" fillId="81" borderId="0" xfId="0" applyFont="1" applyFill="1"/>
    <xf numFmtId="0" fontId="4" fillId="82" borderId="0" xfId="0" applyFont="1" applyFill="1"/>
    <xf numFmtId="0" fontId="4" fillId="83" borderId="0" xfId="0" applyFont="1" applyFill="1"/>
    <xf numFmtId="0" fontId="4" fillId="84" borderId="0" xfId="0" applyFont="1" applyFill="1"/>
    <xf numFmtId="0" fontId="4" fillId="85" borderId="0" xfId="0" applyFont="1" applyFill="1"/>
    <xf numFmtId="0" fontId="4" fillId="86" borderId="0" xfId="0" applyFont="1" applyFill="1"/>
    <xf numFmtId="0" fontId="4" fillId="87" borderId="0" xfId="0" applyFont="1" applyFill="1"/>
    <xf numFmtId="0" fontId="4" fillId="88" borderId="0" xfId="0" applyFont="1" applyFill="1"/>
    <xf numFmtId="0" fontId="4" fillId="89" borderId="0" xfId="0" applyFont="1" applyFill="1"/>
    <xf numFmtId="0" fontId="4" fillId="90" borderId="0" xfId="0" applyFont="1" applyFill="1"/>
    <xf numFmtId="0" fontId="4" fillId="91" borderId="0" xfId="0" applyFont="1" applyFill="1"/>
    <xf numFmtId="0" fontId="4" fillId="92" borderId="0" xfId="0" applyFont="1" applyFill="1"/>
    <xf numFmtId="0" fontId="4" fillId="93" borderId="0" xfId="0" applyFont="1" applyFill="1"/>
    <xf numFmtId="0" fontId="4" fillId="94" borderId="0" xfId="0" applyFont="1" applyFill="1"/>
    <xf numFmtId="0" fontId="4" fillId="95" borderId="0" xfId="0" applyFont="1" applyFill="1"/>
    <xf numFmtId="0" fontId="4" fillId="96" borderId="0" xfId="0" applyFont="1" applyFill="1"/>
    <xf numFmtId="0" fontId="4" fillId="97" borderId="0" xfId="0" applyFont="1" applyFill="1"/>
    <xf numFmtId="0" fontId="4" fillId="98" borderId="0" xfId="0" applyFont="1" applyFill="1"/>
    <xf numFmtId="0" fontId="4" fillId="99" borderId="0" xfId="0" applyFont="1" applyFill="1"/>
    <xf numFmtId="0" fontId="4" fillId="100" borderId="0" xfId="0" applyFont="1" applyFill="1"/>
    <xf numFmtId="0" fontId="4" fillId="101" borderId="0" xfId="0" applyFont="1" applyFill="1"/>
    <xf numFmtId="0" fontId="4" fillId="102" borderId="0" xfId="0" applyFont="1" applyFill="1"/>
    <xf numFmtId="0" fontId="4" fillId="103" borderId="0" xfId="0" applyFont="1" applyFill="1"/>
    <xf numFmtId="0" fontId="4" fillId="104" borderId="0" xfId="0" applyFont="1" applyFill="1"/>
    <xf numFmtId="0" fontId="4" fillId="105" borderId="0" xfId="0" applyFont="1" applyFill="1"/>
    <xf numFmtId="0" fontId="4" fillId="106" borderId="0" xfId="0" applyFont="1" applyFill="1"/>
    <xf numFmtId="0" fontId="4" fillId="107" borderId="0" xfId="0" applyFont="1" applyFill="1"/>
    <xf numFmtId="0" fontId="4" fillId="108" borderId="0" xfId="0" applyFont="1" applyFill="1"/>
    <xf numFmtId="0" fontId="4" fillId="109" borderId="0" xfId="0" applyFont="1" applyFill="1"/>
    <xf numFmtId="0" fontId="4" fillId="110" borderId="0" xfId="0" applyFont="1" applyFill="1"/>
    <xf numFmtId="0" fontId="4" fillId="111" borderId="0" xfId="0" applyFont="1" applyFill="1"/>
    <xf numFmtId="0" fontId="4" fillId="112" borderId="0" xfId="0" applyFont="1" applyFill="1"/>
    <xf numFmtId="0" fontId="4" fillId="113" borderId="0" xfId="0" applyFont="1" applyFill="1"/>
    <xf numFmtId="0" fontId="4" fillId="114" borderId="0" xfId="0" applyFont="1" applyFill="1"/>
    <xf numFmtId="0" fontId="4" fillId="115" borderId="0" xfId="0" applyFont="1" applyFill="1"/>
    <xf numFmtId="0" fontId="4" fillId="116" borderId="0" xfId="0" applyFont="1" applyFill="1"/>
    <xf numFmtId="0" fontId="4" fillId="117" borderId="0" xfId="0" applyFont="1" applyFill="1"/>
    <xf numFmtId="0" fontId="4" fillId="118" borderId="0" xfId="0" applyFont="1" applyFill="1"/>
    <xf numFmtId="0" fontId="4" fillId="119" borderId="0" xfId="0" applyFont="1" applyFill="1"/>
    <xf numFmtId="0" fontId="4" fillId="120" borderId="0" xfId="0" applyFont="1" applyFill="1"/>
    <xf numFmtId="0" fontId="4" fillId="121" borderId="0" xfId="0" applyFont="1" applyFill="1"/>
    <xf numFmtId="0" fontId="4" fillId="122" borderId="0" xfId="0" applyFont="1" applyFill="1"/>
    <xf numFmtId="0" fontId="4" fillId="123" borderId="0" xfId="0" applyFont="1" applyFill="1"/>
    <xf numFmtId="0" fontId="4" fillId="124" borderId="0" xfId="0" applyFont="1" applyFill="1"/>
    <xf numFmtId="0" fontId="4" fillId="125" borderId="0" xfId="0" applyFont="1" applyFill="1"/>
    <xf numFmtId="0" fontId="4" fillId="126" borderId="0" xfId="0" applyFont="1" applyFill="1"/>
    <xf numFmtId="0" fontId="4" fillId="127" borderId="0" xfId="0" applyFont="1" applyFill="1"/>
    <xf numFmtId="0" fontId="4" fillId="128" borderId="0" xfId="0" applyFont="1" applyFill="1"/>
    <xf numFmtId="0" fontId="4" fillId="129" borderId="0" xfId="0" applyFont="1" applyFill="1"/>
    <xf numFmtId="0" fontId="4" fillId="130" borderId="0" xfId="0" applyFont="1" applyFill="1"/>
    <xf numFmtId="0" fontId="4" fillId="131" borderId="0" xfId="0" applyFont="1" applyFill="1"/>
    <xf numFmtId="0" fontId="4" fillId="132" borderId="0" xfId="0" applyFont="1" applyFill="1"/>
    <xf numFmtId="0" fontId="4" fillId="133" borderId="0" xfId="0" applyFont="1" applyFill="1"/>
    <xf numFmtId="0" fontId="4" fillId="134" borderId="0" xfId="0" applyFont="1" applyFill="1"/>
    <xf numFmtId="0" fontId="4" fillId="135" borderId="0" xfId="0" applyFont="1" applyFill="1"/>
    <xf numFmtId="0" fontId="4" fillId="136" borderId="0" xfId="0" applyFont="1" applyFill="1"/>
    <xf numFmtId="0" fontId="4" fillId="137" borderId="0" xfId="0" applyFont="1" applyFill="1"/>
    <xf numFmtId="0" fontId="4" fillId="138" borderId="0" xfId="0" applyFont="1" applyFill="1"/>
    <xf numFmtId="0" fontId="4" fillId="139" borderId="0" xfId="0" applyFont="1" applyFill="1"/>
    <xf numFmtId="0" fontId="4" fillId="140" borderId="0" xfId="0" applyFont="1" applyFill="1"/>
    <xf numFmtId="0" fontId="4" fillId="141" borderId="0" xfId="0" applyFont="1" applyFill="1"/>
    <xf numFmtId="0" fontId="4" fillId="142" borderId="0" xfId="0" applyFont="1" applyFill="1"/>
    <xf numFmtId="0" fontId="4" fillId="143" borderId="0" xfId="0" applyFont="1" applyFill="1"/>
    <xf numFmtId="0" fontId="4" fillId="144" borderId="0" xfId="0" applyFont="1" applyFill="1"/>
    <xf numFmtId="0" fontId="4" fillId="145" borderId="0" xfId="0" applyFont="1" applyFill="1"/>
    <xf numFmtId="0" fontId="4" fillId="146" borderId="0" xfId="0" applyFont="1" applyFill="1"/>
    <xf numFmtId="0" fontId="4" fillId="147" borderId="0" xfId="0" applyFont="1" applyFill="1"/>
    <xf numFmtId="0" fontId="4" fillId="148" borderId="0" xfId="0" applyFont="1" applyFill="1"/>
    <xf numFmtId="0" fontId="4" fillId="149" borderId="0" xfId="0" applyFont="1" applyFill="1"/>
    <xf numFmtId="0" fontId="4" fillId="150" borderId="0" xfId="0" applyFont="1" applyFill="1"/>
    <xf numFmtId="0" fontId="4" fillId="151" borderId="0" xfId="0" applyFont="1" applyFill="1"/>
    <xf numFmtId="0" fontId="4" fillId="152" borderId="0" xfId="0" applyFont="1" applyFill="1"/>
    <xf numFmtId="0" fontId="4" fillId="153" borderId="0" xfId="0" applyFont="1" applyFill="1"/>
    <xf numFmtId="0" fontId="4" fillId="154" borderId="0" xfId="0" applyFont="1" applyFill="1"/>
    <xf numFmtId="0" fontId="4" fillId="155" borderId="0" xfId="0" applyFont="1" applyFill="1"/>
    <xf numFmtId="0" fontId="4" fillId="156" borderId="0" xfId="0" applyFont="1" applyFill="1"/>
    <xf numFmtId="0" fontId="4" fillId="157" borderId="0" xfId="0" applyFont="1" applyFill="1"/>
    <xf numFmtId="0" fontId="4" fillId="158" borderId="0" xfId="0" applyFont="1" applyFill="1"/>
    <xf numFmtId="0" fontId="4" fillId="159" borderId="0" xfId="0" applyFont="1" applyFill="1"/>
    <xf numFmtId="0" fontId="4" fillId="160" borderId="0" xfId="0" applyFont="1" applyFill="1"/>
    <xf numFmtId="0" fontId="4" fillId="161" borderId="0" xfId="0" applyFont="1" applyFill="1"/>
    <xf numFmtId="0" fontId="4" fillId="162" borderId="0" xfId="0" applyFont="1" applyFill="1"/>
    <xf numFmtId="0" fontId="4" fillId="163" borderId="0" xfId="0" applyFont="1" applyFill="1"/>
    <xf numFmtId="0" fontId="4" fillId="164" borderId="0" xfId="0" applyFont="1" applyFill="1"/>
    <xf numFmtId="0" fontId="4" fillId="165" borderId="0" xfId="0" applyFont="1" applyFill="1"/>
    <xf numFmtId="0" fontId="4" fillId="166" borderId="0" xfId="0" applyFont="1" applyFill="1"/>
    <xf numFmtId="0" fontId="4" fillId="167" borderId="0" xfId="0" applyFont="1" applyFill="1"/>
    <xf numFmtId="0" fontId="4" fillId="168" borderId="0" xfId="0" applyFont="1" applyFill="1"/>
    <xf numFmtId="0" fontId="4" fillId="169" borderId="0" xfId="0" applyFont="1" applyFill="1"/>
    <xf numFmtId="0" fontId="4" fillId="170" borderId="0" xfId="0" applyFont="1" applyFill="1"/>
    <xf numFmtId="0" fontId="4" fillId="171" borderId="0" xfId="0" applyFont="1" applyFill="1"/>
    <xf numFmtId="0" fontId="4" fillId="172" borderId="0" xfId="0" applyFont="1" applyFill="1"/>
    <xf numFmtId="0" fontId="4" fillId="173" borderId="0" xfId="0" applyFont="1" applyFill="1"/>
    <xf numFmtId="0" fontId="4" fillId="174" borderId="0" xfId="0" applyFont="1" applyFill="1"/>
    <xf numFmtId="0" fontId="4" fillId="175" borderId="0" xfId="0" applyFont="1" applyFill="1"/>
    <xf numFmtId="0" fontId="4" fillId="176" borderId="0" xfId="0" applyFont="1" applyFill="1"/>
    <xf numFmtId="0" fontId="4" fillId="177" borderId="0" xfId="0" applyFont="1" applyFill="1"/>
    <xf numFmtId="0" fontId="4" fillId="178" borderId="0" xfId="0" applyFont="1" applyFill="1"/>
    <xf numFmtId="0" fontId="4" fillId="179" borderId="0" xfId="0" applyFont="1" applyFill="1"/>
    <xf numFmtId="0" fontId="4" fillId="180" borderId="0" xfId="0" applyFont="1" applyFill="1"/>
    <xf numFmtId="0" fontId="4" fillId="181" borderId="0" xfId="0" applyFont="1" applyFill="1"/>
    <xf numFmtId="0" fontId="4" fillId="182" borderId="0" xfId="0" applyFont="1" applyFill="1"/>
    <xf numFmtId="0" fontId="4" fillId="183" borderId="0" xfId="0" applyFont="1" applyFill="1"/>
    <xf numFmtId="0" fontId="4" fillId="184" borderId="0" xfId="0" applyFont="1" applyFill="1"/>
    <xf numFmtId="0" fontId="4" fillId="185" borderId="0" xfId="0" applyFont="1" applyFill="1"/>
    <xf numFmtId="0" fontId="4" fillId="186" borderId="0" xfId="0" applyFont="1" applyFill="1"/>
    <xf numFmtId="0" fontId="4" fillId="187" borderId="0" xfId="0" applyFont="1" applyFill="1"/>
    <xf numFmtId="0" fontId="4" fillId="188" borderId="0" xfId="0" applyFont="1" applyFill="1"/>
    <xf numFmtId="0" fontId="4" fillId="189" borderId="0" xfId="0" applyFont="1" applyFill="1"/>
    <xf numFmtId="0" fontId="4" fillId="190" borderId="0" xfId="0" applyFont="1" applyFill="1"/>
    <xf numFmtId="0" fontId="4" fillId="191" borderId="0" xfId="0" applyFont="1" applyFill="1"/>
    <xf numFmtId="0" fontId="4" fillId="192" borderId="0" xfId="0" applyFont="1" applyFill="1"/>
    <xf numFmtId="0" fontId="3" fillId="193" borderId="0" xfId="0" applyFont="1" applyFill="1"/>
    <xf numFmtId="0" fontId="3" fillId="194" borderId="0" xfId="0" applyFont="1" applyFill="1"/>
    <xf numFmtId="0" fontId="3" fillId="195" borderId="0" xfId="0" applyFont="1" applyFill="1"/>
    <xf numFmtId="0" fontId="3" fillId="196" borderId="0" xfId="0" applyFont="1" applyFill="1"/>
    <xf numFmtId="0" fontId="3" fillId="197" borderId="0" xfId="0" applyFont="1" applyFill="1"/>
    <xf numFmtId="0" fontId="3" fillId="198" borderId="0" xfId="0" applyFont="1" applyFill="1"/>
    <xf numFmtId="0" fontId="3" fillId="199" borderId="0" xfId="0" applyFont="1" applyFill="1"/>
    <xf numFmtId="0" fontId="3" fillId="200" borderId="0" xfId="0" applyFont="1" applyFill="1"/>
    <xf numFmtId="0" fontId="3" fillId="201" borderId="0" xfId="0" applyFont="1" applyFill="1"/>
    <xf numFmtId="0" fontId="3" fillId="202" borderId="0" xfId="0" applyFont="1" applyFill="1"/>
    <xf numFmtId="0" fontId="3" fillId="203" borderId="0" xfId="0" applyFont="1" applyFill="1"/>
    <xf numFmtId="0" fontId="3" fillId="204" borderId="0" xfId="0" applyFont="1" applyFill="1"/>
    <xf numFmtId="0" fontId="3" fillId="205" borderId="0" xfId="0" applyFont="1" applyFill="1"/>
    <xf numFmtId="0" fontId="3" fillId="206" borderId="0" xfId="0" applyFont="1" applyFill="1"/>
    <xf numFmtId="0" fontId="3" fillId="207" borderId="0" xfId="0" applyFont="1" applyFill="1"/>
    <xf numFmtId="0" fontId="3" fillId="208" borderId="0" xfId="0" applyFont="1" applyFill="1"/>
    <xf numFmtId="0" fontId="3" fillId="209" borderId="0" xfId="0" applyFont="1" applyFill="1"/>
    <xf numFmtId="0" fontId="3" fillId="210" borderId="0" xfId="0" applyFont="1" applyFill="1"/>
    <xf numFmtId="0" fontId="3" fillId="211" borderId="0" xfId="0" applyFont="1" applyFill="1"/>
    <xf numFmtId="0" fontId="3" fillId="212" borderId="0" xfId="0" applyFont="1" applyFill="1"/>
    <xf numFmtId="0" fontId="3" fillId="213" borderId="0" xfId="0" applyFont="1" applyFill="1"/>
    <xf numFmtId="0" fontId="3" fillId="214" borderId="0" xfId="0" applyFont="1" applyFill="1"/>
    <xf numFmtId="0" fontId="3" fillId="215" borderId="0" xfId="0" applyFont="1" applyFill="1"/>
    <xf numFmtId="0" fontId="5" fillId="0" borderId="0" xfId="0" applyFont="1"/>
    <xf numFmtId="0" fontId="3" fillId="216" borderId="0" xfId="0" applyFont="1" applyFill="1"/>
    <xf numFmtId="0" fontId="3" fillId="217" borderId="0" xfId="0" applyFont="1" applyFill="1"/>
    <xf numFmtId="0" fontId="3" fillId="218" borderId="0" xfId="0" applyFont="1" applyFill="1"/>
    <xf numFmtId="0" fontId="3" fillId="219" borderId="0" xfId="0" applyFont="1" applyFill="1"/>
    <xf numFmtId="0" fontId="3" fillId="220" borderId="0" xfId="0" applyFont="1" applyFill="1"/>
    <xf numFmtId="0" fontId="3" fillId="221" borderId="0" xfId="0" applyFont="1" applyFill="1"/>
    <xf numFmtId="0" fontId="3" fillId="222" borderId="0" xfId="0" applyFont="1" applyFill="1"/>
    <xf numFmtId="0" fontId="3" fillId="223" borderId="0" xfId="0" applyFont="1" applyFill="1"/>
    <xf numFmtId="0" fontId="0" fillId="81" borderId="0" xfId="0" applyFill="1"/>
    <xf numFmtId="0" fontId="0" fillId="48" borderId="0" xfId="0" applyFill="1"/>
    <xf numFmtId="0" fontId="0" fillId="13" borderId="0" xfId="0" applyFill="1"/>
    <xf numFmtId="0" fontId="0" fillId="213" borderId="0" xfId="0" applyFill="1"/>
    <xf numFmtId="0" fontId="5" fillId="0" borderId="1" xfId="0" applyFont="1" applyBorder="1"/>
    <xf numFmtId="0" fontId="0" fillId="158" borderId="0" xfId="0" applyFill="1"/>
    <xf numFmtId="0" fontId="0" fillId="109" borderId="0" xfId="0" applyFill="1"/>
    <xf numFmtId="0" fontId="0" fillId="191" borderId="0" xfId="0" applyFill="1"/>
    <xf numFmtId="0" fontId="0" fillId="156" borderId="0" xfId="0" applyFill="1"/>
    <xf numFmtId="0" fontId="0" fillId="188" borderId="0" xfId="0" applyFill="1"/>
    <xf numFmtId="0" fontId="0" fillId="134" borderId="0" xfId="0" applyFill="1"/>
    <xf numFmtId="0" fontId="0" fillId="89" borderId="0" xfId="0" applyFill="1"/>
    <xf numFmtId="0" fontId="0" fillId="94" borderId="0" xfId="0" applyFill="1"/>
    <xf numFmtId="0" fontId="0" fillId="157" borderId="0" xfId="0" applyFill="1"/>
    <xf numFmtId="0" fontId="0" fillId="73" borderId="0" xfId="0" applyFill="1"/>
    <xf numFmtId="0" fontId="0" fillId="214" borderId="0" xfId="0" applyFill="1"/>
    <xf numFmtId="0" fontId="0" fillId="153" borderId="0" xfId="0" applyFill="1"/>
    <xf numFmtId="0" fontId="0" fillId="95" borderId="0" xfId="0" applyFill="1"/>
    <xf numFmtId="0" fontId="0" fillId="215" borderId="0" xfId="0" applyFill="1"/>
    <xf numFmtId="0" fontId="0" fillId="65" borderId="0" xfId="0" applyFill="1"/>
    <xf numFmtId="0" fontId="0" fillId="175" borderId="0" xfId="0" applyFill="1"/>
    <xf numFmtId="0" fontId="0" fillId="137" borderId="0" xfId="0" applyFill="1"/>
    <xf numFmtId="0" fontId="0" fillId="133" borderId="0" xfId="0" applyFill="1"/>
    <xf numFmtId="0" fontId="0" fillId="168" borderId="0" xfId="0" applyFill="1"/>
    <xf numFmtId="0" fontId="0" fillId="78" borderId="0" xfId="0" applyFill="1"/>
    <xf numFmtId="0" fontId="0" fillId="62" borderId="0" xfId="0" applyFill="1"/>
    <xf numFmtId="0" fontId="0" fillId="146" borderId="0" xfId="0" applyFill="1"/>
    <xf numFmtId="0" fontId="0" fillId="154" borderId="0" xfId="0" applyFill="1"/>
    <xf numFmtId="0" fontId="0" fillId="212" borderId="0" xfId="0" applyFill="1"/>
    <xf numFmtId="0" fontId="0" fillId="114" borderId="0" xfId="0" applyFill="1"/>
    <xf numFmtId="0" fontId="0" fillId="177" borderId="0" xfId="0" applyFill="1"/>
    <xf numFmtId="0" fontId="0" fillId="15" borderId="0" xfId="0" applyFill="1"/>
    <xf numFmtId="0" fontId="0" fillId="160" borderId="0" xfId="0" applyFill="1"/>
    <xf numFmtId="0" fontId="0" fillId="216" borderId="0" xfId="0" applyFill="1"/>
    <xf numFmtId="0" fontId="0" fillId="220" borderId="0" xfId="0" applyFill="1"/>
    <xf numFmtId="0" fontId="0" fillId="96" borderId="0" xfId="0" applyFill="1"/>
    <xf numFmtId="0" fontId="0" fillId="135" borderId="0" xfId="0" applyFill="1"/>
    <xf numFmtId="0" fontId="0" fillId="57" borderId="0" xfId="0" applyFill="1"/>
    <xf numFmtId="0" fontId="0" fillId="152" borderId="0" xfId="0" applyFill="1"/>
    <xf numFmtId="0" fontId="0" fillId="130" borderId="0" xfId="0" applyFill="1"/>
    <xf numFmtId="0" fontId="0" fillId="209" borderId="0" xfId="0" applyFill="1"/>
    <xf numFmtId="0" fontId="0" fillId="55" borderId="0" xfId="0" applyFill="1"/>
    <xf numFmtId="0" fontId="0" fillId="49" borderId="0" xfId="0" applyFill="1"/>
    <xf numFmtId="0" fontId="0" fillId="136" borderId="0" xfId="0" applyFill="1"/>
    <xf numFmtId="0" fontId="0" fillId="190" borderId="0" xfId="0" applyFill="1"/>
    <xf numFmtId="0" fontId="0" fillId="176" borderId="0" xfId="0" applyFill="1"/>
    <xf numFmtId="0" fontId="0" fillId="9" borderId="0" xfId="0" applyFill="1"/>
    <xf numFmtId="0" fontId="0" fillId="105" borderId="0" xfId="0" applyFill="1"/>
    <xf numFmtId="0" fontId="0" fillId="64" borderId="0" xfId="0" applyFill="1"/>
    <xf numFmtId="0" fontId="3" fillId="113" borderId="0" xfId="0" applyFont="1" applyFill="1"/>
    <xf numFmtId="0" fontId="0" fillId="97" borderId="0" xfId="0" applyFill="1"/>
    <xf numFmtId="0" fontId="0" fillId="217" borderId="0" xfId="0" applyFill="1"/>
    <xf numFmtId="0" fontId="0" fillId="31" borderId="0" xfId="0" applyFill="1"/>
    <xf numFmtId="0" fontId="0" fillId="29" borderId="0" xfId="0" applyFill="1"/>
    <xf numFmtId="0" fontId="0" fillId="32" borderId="0" xfId="0" applyFill="1"/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ECE20B"/>
      <color rgb="FFB49D07"/>
      <color rgb="FFD9CB0A"/>
      <color rgb="FF3C2D46"/>
      <color rgb="FFECECEC"/>
      <color rgb="FFFFC782"/>
      <color rgb="FFDBAEE6"/>
      <color rgb="FFCB65E1"/>
      <color rgb="FF60A0FF"/>
      <color rgb="FFB0D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8.75"/>
  <cols>
    <col min="1" max="1" width="21.25" bestFit="1" customWidth="1"/>
    <col min="2" max="2" width="13" style="3" bestFit="1" customWidth="1"/>
    <col min="3" max="3" width="8.875" bestFit="1" customWidth="1"/>
    <col min="4" max="4" width="13" bestFit="1" customWidth="1"/>
    <col min="5" max="5" width="11" bestFit="1" customWidth="1"/>
    <col min="6" max="6" width="12.875" bestFit="1" customWidth="1"/>
    <col min="8" max="8" width="5.5" bestFit="1" customWidth="1"/>
    <col min="9" max="9" width="7.125" bestFit="1" customWidth="1"/>
    <col min="10" max="10" width="9" style="221" bestFit="1" customWidth="1"/>
    <col min="11" max="11" width="3.375" bestFit="1" customWidth="1"/>
  </cols>
  <sheetData>
    <row r="1" spans="1:12" s="1" customFormat="1">
      <c r="A1" s="1" t="s">
        <v>0</v>
      </c>
      <c r="B1" s="2" t="s">
        <v>109</v>
      </c>
      <c r="C1" s="1" t="s">
        <v>1</v>
      </c>
      <c r="D1" s="1" t="s">
        <v>52</v>
      </c>
      <c r="E1" s="5" t="s">
        <v>118</v>
      </c>
      <c r="F1" s="1" t="s">
        <v>117</v>
      </c>
      <c r="G1" s="1" t="s">
        <v>2</v>
      </c>
      <c r="H1" s="1" t="s">
        <v>7</v>
      </c>
      <c r="I1" s="1" t="s">
        <v>187</v>
      </c>
      <c r="J1" s="234" t="s">
        <v>188</v>
      </c>
      <c r="K1" s="1" t="s">
        <v>186</v>
      </c>
      <c r="L1" s="1" t="s">
        <v>383</v>
      </c>
    </row>
    <row r="2" spans="1:12">
      <c r="A2" t="s">
        <v>3</v>
      </c>
      <c r="B2" s="3" t="s">
        <v>4</v>
      </c>
      <c r="C2">
        <v>0</v>
      </c>
      <c r="D2" t="str">
        <f>_xlfn.XLOOKUP(C2,カテゴリ!$A:$A,カテゴリ!$B:$B,"不明")</f>
        <v>専用貨物</v>
      </c>
      <c r="E2">
        <v>0</v>
      </c>
      <c r="F2">
        <f>ROUND(E2*60,0)</f>
        <v>0</v>
      </c>
      <c r="G2">
        <v>0</v>
      </c>
      <c r="H2">
        <v>0</v>
      </c>
      <c r="L2" t="str">
        <f t="shared" ref="L2:L3" si="0">IFERROR(FIXED($F2/_xlfn.XLOOKUP("Passagiere",$A:$A,$F:$F),2),"-")</f>
        <v>0.00</v>
      </c>
    </row>
    <row r="3" spans="1:12">
      <c r="A3" t="s">
        <v>5</v>
      </c>
      <c r="B3" s="3" t="s">
        <v>6</v>
      </c>
      <c r="C3">
        <v>0</v>
      </c>
      <c r="D3" t="str">
        <f>_xlfn.XLOOKUP(C3,カテゴリ!$A:$A,カテゴリ!$B:$B,"不明")</f>
        <v>専用貨物</v>
      </c>
      <c r="E3">
        <v>0.5</v>
      </c>
      <c r="F3">
        <f t="shared" ref="F3:F66" si="1">ROUND(E3*60,0)</f>
        <v>30</v>
      </c>
      <c r="G3">
        <v>15</v>
      </c>
      <c r="H3">
        <v>70</v>
      </c>
      <c r="I3">
        <v>79</v>
      </c>
      <c r="J3" s="221" t="str">
        <f>VLOOKUP($I3,色!$A$2:$B$225,2,FALSE)</f>
        <v>#FF9CD1</v>
      </c>
      <c r="K3" s="230"/>
      <c r="L3" t="str">
        <f t="shared" si="0"/>
        <v>1.00</v>
      </c>
    </row>
    <row r="4" spans="1:12">
      <c r="A4" t="s">
        <v>10</v>
      </c>
      <c r="B4" s="3" t="s">
        <v>11</v>
      </c>
      <c r="C4">
        <v>0</v>
      </c>
      <c r="D4" t="str">
        <f>_xlfn.XLOOKUP(C4,カテゴリ!$A:$A,カテゴリ!$B:$B,"不明")</f>
        <v>専用貨物</v>
      </c>
      <c r="E4">
        <v>5</v>
      </c>
      <c r="F4">
        <f t="shared" si="1"/>
        <v>300</v>
      </c>
      <c r="G4">
        <v>10</v>
      </c>
      <c r="H4">
        <v>1000</v>
      </c>
      <c r="I4">
        <v>11</v>
      </c>
      <c r="J4" s="221" t="str">
        <f>VLOOKUP($I4,色!$A$2:$B$225,2,FALSE)</f>
        <v>#909090</v>
      </c>
      <c r="K4" s="232"/>
      <c r="L4" t="str">
        <f>IFERROR(FIXED($F4/_xlfn.XLOOKUP("Passagiere",$A:$A,$F:$F),2),"-")</f>
        <v>10.00</v>
      </c>
    </row>
    <row r="5" spans="1:12">
      <c r="A5" t="s">
        <v>350</v>
      </c>
      <c r="B5" s="3" t="s">
        <v>351</v>
      </c>
      <c r="C5">
        <v>0</v>
      </c>
      <c r="D5" t="str">
        <f>_xlfn.XLOOKUP(C5,カテゴリ!$A:$A,カテゴリ!$B:$B,"不明")</f>
        <v>専用貨物</v>
      </c>
      <c r="E5">
        <v>7</v>
      </c>
      <c r="F5">
        <f t="shared" si="1"/>
        <v>420</v>
      </c>
      <c r="G5">
        <v>3</v>
      </c>
      <c r="H5">
        <v>500</v>
      </c>
      <c r="I5">
        <v>190</v>
      </c>
      <c r="J5" s="221" t="str">
        <f>VLOOKUP($I5,色!$A$2:$B$225,2,FALSE)</f>
        <v>#AE6030</v>
      </c>
      <c r="K5" s="274"/>
      <c r="L5" t="str">
        <f t="shared" ref="L5:L68" si="2">IFERROR(FIXED($F5/_xlfn.XLOOKUP("Passagiere",$A:$A,$F:$F),2),"-")</f>
        <v>14.00</v>
      </c>
    </row>
    <row r="6" spans="1:12">
      <c r="A6" t="s">
        <v>16</v>
      </c>
      <c r="B6" s="3" t="s">
        <v>17</v>
      </c>
      <c r="C6">
        <v>11</v>
      </c>
      <c r="D6" t="str">
        <f>_xlfn.XLOOKUP(C6,カテゴリ!$A:$A,カテゴリ!$B:$B,"不明")</f>
        <v>混載貨物</v>
      </c>
      <c r="E6">
        <v>0</v>
      </c>
      <c r="F6">
        <f t="shared" si="1"/>
        <v>0</v>
      </c>
      <c r="G6">
        <v>0</v>
      </c>
      <c r="H6">
        <v>0</v>
      </c>
      <c r="L6" t="str">
        <f t="shared" si="2"/>
        <v>0.00</v>
      </c>
    </row>
    <row r="7" spans="1:12">
      <c r="A7" t="s">
        <v>14</v>
      </c>
      <c r="B7" s="3" t="s">
        <v>15</v>
      </c>
      <c r="C7">
        <v>11</v>
      </c>
      <c r="D7" t="str">
        <f>_xlfn.XLOOKUP(C7,カテゴリ!$A:$A,カテゴリ!$B:$B,"不明")</f>
        <v>混載貨物</v>
      </c>
      <c r="E7">
        <f>MAX(280,H7)*50/10000</f>
        <v>5.5</v>
      </c>
      <c r="F7">
        <f t="shared" si="1"/>
        <v>330</v>
      </c>
      <c r="G7">
        <v>15</v>
      </c>
      <c r="H7">
        <v>1100</v>
      </c>
      <c r="I7">
        <v>157</v>
      </c>
      <c r="J7" s="221" t="str">
        <f>VLOOKUP($I7,色!$A$2:$B$225,2,FALSE)</f>
        <v>#FF952B</v>
      </c>
      <c r="K7" s="235"/>
      <c r="L7" t="str">
        <f t="shared" si="2"/>
        <v>11.00</v>
      </c>
    </row>
    <row r="8" spans="1:12">
      <c r="A8" t="s">
        <v>363</v>
      </c>
      <c r="B8" s="3" t="s">
        <v>364</v>
      </c>
      <c r="C8">
        <v>11</v>
      </c>
      <c r="D8" t="str">
        <f>_xlfn.XLOOKUP(C8,カテゴリ!$A:$A,カテゴリ!$B:$B,"不明")</f>
        <v>混載貨物</v>
      </c>
      <c r="E8">
        <f t="shared" ref="E8:E29" si="3">MAX(280,H8)*50/10000</f>
        <v>2.25</v>
      </c>
      <c r="F8">
        <f t="shared" si="1"/>
        <v>135</v>
      </c>
      <c r="G8">
        <v>2</v>
      </c>
      <c r="H8">
        <v>450</v>
      </c>
      <c r="I8">
        <v>214</v>
      </c>
      <c r="J8" s="221" t="str">
        <f>VLOOKUP($I8,色!$A$2:$B$225,2,FALSE)</f>
        <v>#ECECEC</v>
      </c>
      <c r="K8" s="245"/>
      <c r="L8" t="str">
        <f t="shared" si="2"/>
        <v>4.50</v>
      </c>
    </row>
    <row r="9" spans="1:12">
      <c r="A9" t="s">
        <v>18</v>
      </c>
      <c r="B9" s="3" t="s">
        <v>19</v>
      </c>
      <c r="C9">
        <v>11</v>
      </c>
      <c r="D9" t="str">
        <f>_xlfn.XLOOKUP(C9,カテゴリ!$A:$A,カテゴリ!$B:$B,"不明")</f>
        <v>混載貨物</v>
      </c>
      <c r="E9">
        <f t="shared" si="3"/>
        <v>4.5</v>
      </c>
      <c r="F9">
        <f t="shared" si="1"/>
        <v>270</v>
      </c>
      <c r="G9">
        <v>5</v>
      </c>
      <c r="H9">
        <v>900</v>
      </c>
      <c r="I9">
        <v>107</v>
      </c>
      <c r="J9" s="221" t="str">
        <f>VLOOKUP($I9,色!$A$2:$B$225,2,FALSE)</f>
        <v>#765B82</v>
      </c>
      <c r="K9" s="236"/>
      <c r="L9" t="str">
        <f t="shared" si="2"/>
        <v>9.00</v>
      </c>
    </row>
    <row r="10" spans="1:12">
      <c r="A10" t="s">
        <v>20</v>
      </c>
      <c r="B10" s="3" t="s">
        <v>21</v>
      </c>
      <c r="C10">
        <v>11</v>
      </c>
      <c r="D10" t="str">
        <f>_xlfn.XLOOKUP(C10,カテゴリ!$A:$A,カテゴリ!$B:$B,"不明")</f>
        <v>混載貨物</v>
      </c>
      <c r="E10">
        <f t="shared" si="3"/>
        <v>5.5</v>
      </c>
      <c r="F10">
        <f t="shared" si="1"/>
        <v>330</v>
      </c>
      <c r="G10">
        <v>1</v>
      </c>
      <c r="H10">
        <v>1100</v>
      </c>
      <c r="I10">
        <v>208</v>
      </c>
      <c r="J10" s="221" t="str">
        <f>VLOOKUP($I10,色!$A$2:$B$225,2,FALSE)</f>
        <v>#202020</v>
      </c>
      <c r="K10" s="213"/>
      <c r="L10" t="str">
        <f t="shared" si="2"/>
        <v>11.00</v>
      </c>
    </row>
    <row r="11" spans="1:12">
      <c r="A11" t="s">
        <v>359</v>
      </c>
      <c r="B11" s="3" t="s">
        <v>360</v>
      </c>
      <c r="C11">
        <v>11</v>
      </c>
      <c r="D11" t="str">
        <f>_xlfn.XLOOKUP(C11,カテゴリ!$A:$A,カテゴリ!$B:$B,"不明")</f>
        <v>混載貨物</v>
      </c>
      <c r="E11">
        <f t="shared" si="3"/>
        <v>2</v>
      </c>
      <c r="F11">
        <f t="shared" si="1"/>
        <v>120</v>
      </c>
      <c r="G11">
        <v>5</v>
      </c>
      <c r="H11">
        <v>400</v>
      </c>
      <c r="I11">
        <v>111</v>
      </c>
      <c r="J11" s="221" t="str">
        <f>VLOOKUP($I11,色!$A$2:$B$225,2,FALSE)</f>
        <v>#DBAEE6</v>
      </c>
      <c r="K11" s="279"/>
      <c r="L11" t="str">
        <f t="shared" si="2"/>
        <v>4.00</v>
      </c>
    </row>
    <row r="12" spans="1:12">
      <c r="A12" t="s">
        <v>22</v>
      </c>
      <c r="B12" s="3" t="s">
        <v>23</v>
      </c>
      <c r="C12">
        <v>11</v>
      </c>
      <c r="D12" t="str">
        <f>_xlfn.XLOOKUP(C12,カテゴリ!$A:$A,カテゴリ!$B:$B,"不明")</f>
        <v>混載貨物</v>
      </c>
      <c r="E12">
        <f t="shared" si="3"/>
        <v>2.5</v>
      </c>
      <c r="F12">
        <f t="shared" si="1"/>
        <v>150</v>
      </c>
      <c r="G12">
        <v>25</v>
      </c>
      <c r="H12">
        <v>500</v>
      </c>
      <c r="I12">
        <v>46</v>
      </c>
      <c r="J12" s="221" t="str">
        <f>VLOOKUP($I12,色!$A$2:$B$225,2,FALSE)</f>
        <v>#6AB92C</v>
      </c>
      <c r="K12" s="231"/>
      <c r="L12" t="str">
        <f t="shared" si="2"/>
        <v>5.00</v>
      </c>
    </row>
    <row r="13" spans="1:12">
      <c r="A13" t="s">
        <v>375</v>
      </c>
      <c r="B13" s="3" t="s">
        <v>26</v>
      </c>
      <c r="C13">
        <v>11</v>
      </c>
      <c r="D13" t="str">
        <f>_xlfn.XLOOKUP(C13,カテゴリ!$A:$A,カテゴリ!$B:$B,"不明")</f>
        <v>混載貨物</v>
      </c>
      <c r="E13">
        <f t="shared" si="3"/>
        <v>3</v>
      </c>
      <c r="F13">
        <f t="shared" si="1"/>
        <v>180</v>
      </c>
      <c r="G13">
        <v>25</v>
      </c>
      <c r="H13">
        <v>600</v>
      </c>
      <c r="I13">
        <v>191</v>
      </c>
      <c r="J13" s="221" t="str">
        <f>VLOOKUP($I13,色!$A$2:$B$225,2,FALSE)</f>
        <v>#C08040</v>
      </c>
      <c r="K13" s="237"/>
      <c r="L13" t="str">
        <f t="shared" si="2"/>
        <v>6.00</v>
      </c>
    </row>
    <row r="14" spans="1:12">
      <c r="A14" t="s">
        <v>27</v>
      </c>
      <c r="B14" s="3" t="s">
        <v>28</v>
      </c>
      <c r="C14">
        <v>11</v>
      </c>
      <c r="D14" t="str">
        <f>_xlfn.XLOOKUP(C14,カテゴリ!$A:$A,カテゴリ!$B:$B,"不明")</f>
        <v>混載貨物</v>
      </c>
      <c r="E14">
        <f t="shared" si="3"/>
        <v>1.5</v>
      </c>
      <c r="F14">
        <f t="shared" si="1"/>
        <v>90</v>
      </c>
      <c r="G14">
        <v>20</v>
      </c>
      <c r="H14">
        <v>300</v>
      </c>
      <c r="I14">
        <v>154</v>
      </c>
      <c r="J14" s="221" t="str">
        <f>VLOOKUP($I14,色!$A$2:$B$225,2,FALSE)</f>
        <v>#D76B00</v>
      </c>
      <c r="K14" s="238"/>
      <c r="L14" t="str">
        <f t="shared" si="2"/>
        <v>3.00</v>
      </c>
    </row>
    <row r="15" spans="1:12">
      <c r="A15" t="s">
        <v>365</v>
      </c>
      <c r="B15" s="3" t="s">
        <v>366</v>
      </c>
      <c r="C15">
        <v>11</v>
      </c>
      <c r="D15" t="str">
        <f>_xlfn.XLOOKUP(C15,カテゴリ!$A:$A,カテゴリ!$B:$B,"不明")</f>
        <v>混載貨物</v>
      </c>
      <c r="E15">
        <f t="shared" si="3"/>
        <v>6</v>
      </c>
      <c r="F15">
        <f t="shared" si="1"/>
        <v>360</v>
      </c>
      <c r="G15">
        <v>3</v>
      </c>
      <c r="H15">
        <v>1200</v>
      </c>
      <c r="I15">
        <v>217</v>
      </c>
      <c r="J15" s="221" t="str">
        <f>VLOOKUP($I15,色!$A$2:$B$225,2,FALSE)</f>
        <v>#3C2D46</v>
      </c>
      <c r="K15" s="281"/>
      <c r="L15" t="str">
        <f t="shared" si="2"/>
        <v>12.00</v>
      </c>
    </row>
    <row r="16" spans="1:12">
      <c r="A16" t="s">
        <v>357</v>
      </c>
      <c r="B16" s="3" t="s">
        <v>358</v>
      </c>
      <c r="C16">
        <v>11</v>
      </c>
      <c r="D16" t="str">
        <f>_xlfn.XLOOKUP(C16,カテゴリ!$A:$A,カテゴリ!$B:$B,"不明")</f>
        <v>混載貨物</v>
      </c>
      <c r="E16">
        <f t="shared" si="3"/>
        <v>1.4</v>
      </c>
      <c r="F16">
        <f t="shared" si="1"/>
        <v>84</v>
      </c>
      <c r="G16">
        <v>5</v>
      </c>
      <c r="H16">
        <v>200</v>
      </c>
      <c r="I16">
        <v>62</v>
      </c>
      <c r="J16" s="221" t="str">
        <f>VLOOKUP($I16,色!$A$2:$B$225,2,FALSE)</f>
        <v>#CB65E1</v>
      </c>
      <c r="K16" s="278"/>
      <c r="L16" t="str">
        <f t="shared" si="2"/>
        <v>2.80</v>
      </c>
    </row>
    <row r="17" spans="1:12">
      <c r="A17" t="s">
        <v>107</v>
      </c>
      <c r="B17" s="3" t="s">
        <v>108</v>
      </c>
      <c r="C17">
        <v>11</v>
      </c>
      <c r="D17" t="str">
        <f>_xlfn.XLOOKUP(C17,カテゴリ!$A:$A,カテゴリ!$B:$B,"不明")</f>
        <v>混載貨物</v>
      </c>
      <c r="E17">
        <f t="shared" si="3"/>
        <v>1.4</v>
      </c>
      <c r="F17">
        <f t="shared" si="1"/>
        <v>84</v>
      </c>
      <c r="G17">
        <v>3</v>
      </c>
      <c r="H17">
        <v>150</v>
      </c>
      <c r="I17">
        <v>188</v>
      </c>
      <c r="J17" s="221" t="str">
        <f>VLOOKUP($I17,色!$A$2:$B$225,2,FALSE)</f>
        <v>#8A4010</v>
      </c>
      <c r="K17" s="239"/>
      <c r="L17" t="str">
        <f t="shared" si="2"/>
        <v>2.80</v>
      </c>
    </row>
    <row r="18" spans="1:12">
      <c r="A18" t="s">
        <v>32</v>
      </c>
      <c r="B18" s="3" t="s">
        <v>33</v>
      </c>
      <c r="C18">
        <v>11</v>
      </c>
      <c r="D18" t="str">
        <f>_xlfn.XLOOKUP(C18,カテゴリ!$A:$A,カテゴリ!$B:$B,"不明")</f>
        <v>混載貨物</v>
      </c>
      <c r="E18">
        <f t="shared" si="3"/>
        <v>2.5</v>
      </c>
      <c r="F18">
        <f t="shared" si="1"/>
        <v>150</v>
      </c>
      <c r="G18">
        <v>20</v>
      </c>
      <c r="H18">
        <v>500</v>
      </c>
      <c r="I18">
        <v>92</v>
      </c>
      <c r="J18" s="221" t="str">
        <f>VLOOKUP($I18,色!$A$2:$B$225,2,FALSE)</f>
        <v>#A87956</v>
      </c>
      <c r="K18" s="242"/>
      <c r="L18" t="str">
        <f t="shared" si="2"/>
        <v>5.00</v>
      </c>
    </row>
    <row r="19" spans="1:12">
      <c r="A19" t="s">
        <v>29</v>
      </c>
      <c r="B19" s="3" t="s">
        <v>30</v>
      </c>
      <c r="C19">
        <v>11</v>
      </c>
      <c r="D19" t="str">
        <f>_xlfn.XLOOKUP(C19,カテゴリ!$A:$A,カテゴリ!$B:$B,"不明")</f>
        <v>混載貨物</v>
      </c>
      <c r="E19">
        <f t="shared" si="3"/>
        <v>3</v>
      </c>
      <c r="F19">
        <f t="shared" si="1"/>
        <v>180</v>
      </c>
      <c r="G19">
        <v>25</v>
      </c>
      <c r="H19">
        <v>600</v>
      </c>
      <c r="I19">
        <v>132</v>
      </c>
      <c r="J19" s="221" t="str">
        <f>VLOOKUP($I19,色!$A$2:$B$225,2,FALSE)</f>
        <v>#FF0000</v>
      </c>
      <c r="K19" s="240"/>
      <c r="L19" t="str">
        <f t="shared" si="2"/>
        <v>6.00</v>
      </c>
    </row>
    <row r="20" spans="1:12">
      <c r="A20" t="s">
        <v>372</v>
      </c>
      <c r="B20" s="3" t="s">
        <v>31</v>
      </c>
      <c r="C20">
        <v>11</v>
      </c>
      <c r="D20" t="str">
        <f>_xlfn.XLOOKUP(C20,カテゴリ!$A:$A,カテゴリ!$B:$B,"不明")</f>
        <v>混載貨物</v>
      </c>
      <c r="E20">
        <f t="shared" si="3"/>
        <v>3.25</v>
      </c>
      <c r="F20">
        <f t="shared" si="1"/>
        <v>195</v>
      </c>
      <c r="G20">
        <v>25</v>
      </c>
      <c r="H20">
        <v>650</v>
      </c>
      <c r="I20">
        <v>87</v>
      </c>
      <c r="J20" s="221" t="str">
        <f>VLOOKUP($I20,色!$A$2:$B$225,2,FALSE)</f>
        <v>#C1E182</v>
      </c>
      <c r="K20" s="241"/>
      <c r="L20" t="str">
        <f t="shared" si="2"/>
        <v>6.50</v>
      </c>
    </row>
    <row r="21" spans="1:12">
      <c r="A21" t="s">
        <v>373</v>
      </c>
      <c r="B21" s="3" t="s">
        <v>39</v>
      </c>
      <c r="C21">
        <v>11</v>
      </c>
      <c r="D21" t="str">
        <f>_xlfn.XLOOKUP(C21,カテゴリ!$A:$A,カテゴリ!$B:$B,"不明")</f>
        <v>混載貨物</v>
      </c>
      <c r="E21">
        <f t="shared" si="3"/>
        <v>2.5</v>
      </c>
      <c r="F21">
        <f t="shared" si="1"/>
        <v>150</v>
      </c>
      <c r="G21">
        <v>25</v>
      </c>
      <c r="H21">
        <v>500</v>
      </c>
      <c r="I21">
        <v>155</v>
      </c>
      <c r="J21" s="221" t="str">
        <f>VLOOKUP($I21,色!$A$2:$B$225,2,FALSE)</f>
        <v>#FF8000</v>
      </c>
      <c r="K21" s="243"/>
      <c r="L21" t="str">
        <f t="shared" si="2"/>
        <v>5.00</v>
      </c>
    </row>
    <row r="22" spans="1:12">
      <c r="A22" t="s">
        <v>374</v>
      </c>
      <c r="B22" s="3" t="s">
        <v>40</v>
      </c>
      <c r="C22">
        <v>11</v>
      </c>
      <c r="D22" t="str">
        <f>_xlfn.XLOOKUP(C22,カテゴリ!$A:$A,カテゴリ!$B:$B,"不明")</f>
        <v>混載貨物</v>
      </c>
      <c r="E22">
        <f t="shared" si="3"/>
        <v>3</v>
      </c>
      <c r="F22">
        <f t="shared" si="1"/>
        <v>180</v>
      </c>
      <c r="G22">
        <v>25</v>
      </c>
      <c r="H22">
        <v>600</v>
      </c>
      <c r="I22">
        <v>71</v>
      </c>
      <c r="J22" s="221" t="str">
        <f>VLOOKUP($I22,色!$A$2:$B$225,2,FALSE)</f>
        <v>#E38F00</v>
      </c>
      <c r="K22" s="244"/>
      <c r="L22" t="str">
        <f t="shared" si="2"/>
        <v>6.00</v>
      </c>
    </row>
    <row r="23" spans="1:12">
      <c r="A23" t="s">
        <v>41</v>
      </c>
      <c r="B23" s="3" t="s">
        <v>42</v>
      </c>
      <c r="C23">
        <v>11</v>
      </c>
      <c r="D23" t="str">
        <f>_xlfn.XLOOKUP(C23,カテゴリ!$A:$A,カテゴリ!$B:$B,"不明")</f>
        <v>混載貨物</v>
      </c>
      <c r="E23">
        <f t="shared" si="3"/>
        <v>5</v>
      </c>
      <c r="F23">
        <f t="shared" si="1"/>
        <v>300</v>
      </c>
      <c r="G23">
        <v>1</v>
      </c>
      <c r="H23">
        <v>1000</v>
      </c>
      <c r="I23">
        <v>214</v>
      </c>
      <c r="J23" s="221" t="str">
        <f>VLOOKUP($I23,色!$A$2:$B$225,2,FALSE)</f>
        <v>#ECECEC</v>
      </c>
      <c r="K23" s="245"/>
      <c r="L23" t="str">
        <f t="shared" si="2"/>
        <v>10.00</v>
      </c>
    </row>
    <row r="24" spans="1:12">
      <c r="A24" t="s">
        <v>43</v>
      </c>
      <c r="B24" s="3" t="s">
        <v>44</v>
      </c>
      <c r="C24">
        <v>11</v>
      </c>
      <c r="D24" t="str">
        <f>_xlfn.XLOOKUP(C24,カテゴリ!$A:$A,カテゴリ!$B:$B,"不明")</f>
        <v>混載貨物</v>
      </c>
      <c r="E24">
        <f t="shared" si="3"/>
        <v>2.75</v>
      </c>
      <c r="F24">
        <f t="shared" si="1"/>
        <v>165</v>
      </c>
      <c r="G24">
        <v>2</v>
      </c>
      <c r="H24">
        <v>550</v>
      </c>
      <c r="I24">
        <v>53</v>
      </c>
      <c r="J24" s="221" t="str">
        <f>VLOOKUP($I24,色!$A$2:$B$225,2,FALSE)</f>
        <v>#00C4B2</v>
      </c>
      <c r="K24" s="271"/>
      <c r="L24" t="str">
        <f t="shared" si="2"/>
        <v>5.50</v>
      </c>
    </row>
    <row r="25" spans="1:12">
      <c r="A25" t="s">
        <v>45</v>
      </c>
      <c r="B25" s="3" t="s">
        <v>46</v>
      </c>
      <c r="C25">
        <v>11</v>
      </c>
      <c r="D25" t="str">
        <f>_xlfn.XLOOKUP(C25,カテゴリ!$A:$A,カテゴリ!$B:$B,"不明")</f>
        <v>混載貨物</v>
      </c>
      <c r="E25">
        <f t="shared" si="3"/>
        <v>4</v>
      </c>
      <c r="F25">
        <f t="shared" si="1"/>
        <v>240</v>
      </c>
      <c r="G25">
        <v>17</v>
      </c>
      <c r="H25">
        <v>800</v>
      </c>
      <c r="I25">
        <v>93</v>
      </c>
      <c r="J25" s="221" t="str">
        <f>VLOOKUP($I25,色!$A$2:$B$225,2,FALSE)</f>
        <v>#C59365</v>
      </c>
      <c r="K25" s="247"/>
      <c r="L25" t="str">
        <f t="shared" si="2"/>
        <v>8.00</v>
      </c>
    </row>
    <row r="26" spans="1:12">
      <c r="A26" t="s">
        <v>47</v>
      </c>
      <c r="B26" s="3" t="s">
        <v>48</v>
      </c>
      <c r="C26">
        <v>11</v>
      </c>
      <c r="D26" t="str">
        <f>_xlfn.XLOOKUP(C26,カテゴリ!$A:$A,カテゴリ!$B:$B,"不明")</f>
        <v>混載貨物</v>
      </c>
      <c r="E26">
        <f t="shared" si="3"/>
        <v>4</v>
      </c>
      <c r="F26">
        <f t="shared" si="1"/>
        <v>240</v>
      </c>
      <c r="G26">
        <v>20</v>
      </c>
      <c r="H26">
        <v>800</v>
      </c>
      <c r="I26">
        <v>215</v>
      </c>
      <c r="J26" s="221" t="str">
        <f>VLOOKUP($I26,色!$A$2:$B$225,2,FALSE)</f>
        <v>#FFFFFF</v>
      </c>
      <c r="K26" s="248"/>
      <c r="L26" t="str">
        <f t="shared" si="2"/>
        <v>8.00</v>
      </c>
    </row>
    <row r="27" spans="1:12">
      <c r="A27" t="s">
        <v>370</v>
      </c>
      <c r="B27" s="3" t="s">
        <v>371</v>
      </c>
      <c r="C27">
        <v>11</v>
      </c>
      <c r="D27" t="str">
        <f>_xlfn.XLOOKUP(C27,カテゴリ!$A:$A,カテゴリ!$B:$B,"不明")</f>
        <v>混載貨物</v>
      </c>
      <c r="E27">
        <f t="shared" si="3"/>
        <v>3.75</v>
      </c>
      <c r="F27">
        <f t="shared" si="1"/>
        <v>225</v>
      </c>
      <c r="G27">
        <v>20</v>
      </c>
      <c r="H27">
        <v>750</v>
      </c>
      <c r="I27">
        <v>30</v>
      </c>
      <c r="J27" s="221" t="str">
        <f>VLOOKUP($I27,色!$A$2:$B$225,2,FALSE)</f>
        <v>#ECE20B</v>
      </c>
      <c r="K27" s="284"/>
      <c r="L27" t="str">
        <f t="shared" si="2"/>
        <v>7.50</v>
      </c>
    </row>
    <row r="28" spans="1:12">
      <c r="A28" t="s">
        <v>67</v>
      </c>
      <c r="B28" s="3" t="s">
        <v>68</v>
      </c>
      <c r="C28">
        <v>11</v>
      </c>
      <c r="D28" t="str">
        <f>_xlfn.XLOOKUP(C28,カテゴリ!$A:$A,カテゴリ!$B:$B,"不明")</f>
        <v>混載貨物</v>
      </c>
      <c r="E28">
        <f t="shared" si="3"/>
        <v>1.4</v>
      </c>
      <c r="F28">
        <f t="shared" si="1"/>
        <v>84</v>
      </c>
      <c r="G28">
        <v>3</v>
      </c>
      <c r="H28">
        <v>200</v>
      </c>
      <c r="I28">
        <v>63</v>
      </c>
      <c r="J28" s="221" t="str">
        <f>VLOOKUP($I28,色!$A$2:$B$225,2,FALSE)</f>
        <v>#E175F3</v>
      </c>
      <c r="K28" s="249"/>
      <c r="L28" t="str">
        <f t="shared" si="2"/>
        <v>2.80</v>
      </c>
    </row>
    <row r="29" spans="1:12">
      <c r="A29" t="s">
        <v>361</v>
      </c>
      <c r="B29" s="3" t="s">
        <v>362</v>
      </c>
      <c r="C29">
        <v>11</v>
      </c>
      <c r="D29" t="str">
        <f>_xlfn.XLOOKUP(C29,カテゴリ!$A:$A,カテゴリ!$B:$B,"不明")</f>
        <v>混載貨物</v>
      </c>
      <c r="E29">
        <f t="shared" si="3"/>
        <v>1.4</v>
      </c>
      <c r="F29">
        <f t="shared" si="1"/>
        <v>84</v>
      </c>
      <c r="G29">
        <v>2</v>
      </c>
      <c r="H29">
        <v>50</v>
      </c>
      <c r="I29">
        <v>95</v>
      </c>
      <c r="J29" s="221" t="str">
        <f>VLOOKUP($I29,色!$A$2:$B$225,2,FALSE)</f>
        <v>#FFC782</v>
      </c>
      <c r="K29" s="280"/>
      <c r="L29" t="str">
        <f t="shared" si="2"/>
        <v>2.80</v>
      </c>
    </row>
    <row r="30" spans="1:12">
      <c r="A30" t="s">
        <v>73</v>
      </c>
      <c r="B30" s="3" t="s">
        <v>54</v>
      </c>
      <c r="C30">
        <v>12</v>
      </c>
      <c r="D30" t="str">
        <f>_xlfn.XLOOKUP(C30,カテゴリ!$A:$A,カテゴリ!$B:$B,"不明")</f>
        <v>冷蔵貨物</v>
      </c>
      <c r="E30">
        <v>0</v>
      </c>
      <c r="F30">
        <f t="shared" si="1"/>
        <v>0</v>
      </c>
      <c r="G30">
        <v>0</v>
      </c>
      <c r="H30">
        <v>0</v>
      </c>
      <c r="L30" t="str">
        <f t="shared" si="2"/>
        <v>0.00</v>
      </c>
    </row>
    <row r="31" spans="1:12">
      <c r="A31" t="s">
        <v>74</v>
      </c>
      <c r="B31" s="3" t="s">
        <v>75</v>
      </c>
      <c r="C31">
        <v>12</v>
      </c>
      <c r="D31" t="str">
        <f>_xlfn.XLOOKUP(C31,カテゴリ!$A:$A,カテゴリ!$B:$B,"不明")</f>
        <v>冷蔵貨物</v>
      </c>
      <c r="E31">
        <f>MAX(280,H31)*50/10000*1.2</f>
        <v>3</v>
      </c>
      <c r="F31">
        <f t="shared" si="1"/>
        <v>180</v>
      </c>
      <c r="G31">
        <v>15</v>
      </c>
      <c r="H31">
        <v>500</v>
      </c>
      <c r="I31">
        <v>7</v>
      </c>
      <c r="J31" s="221" t="str">
        <f>VLOOKUP($I31,色!$A$2:$B$225,2,FALSE)</f>
        <v>#B0D2FF</v>
      </c>
      <c r="K31" s="276"/>
      <c r="L31" t="str">
        <f t="shared" si="2"/>
        <v>6.00</v>
      </c>
    </row>
    <row r="32" spans="1:12">
      <c r="A32" t="s">
        <v>76</v>
      </c>
      <c r="B32" s="3" t="s">
        <v>77</v>
      </c>
      <c r="C32">
        <v>12</v>
      </c>
      <c r="D32" t="str">
        <f>_xlfn.XLOOKUP(C32,カテゴリ!$A:$A,カテゴリ!$B:$B,"不明")</f>
        <v>冷蔵貨物</v>
      </c>
      <c r="E32">
        <f t="shared" ref="E32:E40" si="4">MAX(280,H32)*50/10000*1.2</f>
        <v>4.8</v>
      </c>
      <c r="F32">
        <f t="shared" si="1"/>
        <v>288</v>
      </c>
      <c r="G32">
        <v>5</v>
      </c>
      <c r="H32">
        <v>800</v>
      </c>
      <c r="I32">
        <v>135</v>
      </c>
      <c r="J32" s="221" t="str">
        <f>VLOOKUP($I32,色!$A$2:$B$225,2,FALSE)</f>
        <v>#FF8080</v>
      </c>
      <c r="K32" s="251"/>
      <c r="L32" t="str">
        <f t="shared" si="2"/>
        <v>9.60</v>
      </c>
    </row>
    <row r="33" spans="1:12">
      <c r="A33" t="s">
        <v>376</v>
      </c>
      <c r="B33" s="3" t="s">
        <v>24</v>
      </c>
      <c r="C33">
        <v>12</v>
      </c>
      <c r="D33" t="str">
        <f>_xlfn.XLOOKUP(C33,カテゴリ!$A:$A,カテゴリ!$B:$B,"不明")</f>
        <v>冷蔵貨物</v>
      </c>
      <c r="E33">
        <f t="shared" si="4"/>
        <v>1.68</v>
      </c>
      <c r="F33">
        <f t="shared" si="1"/>
        <v>101</v>
      </c>
      <c r="G33">
        <v>25</v>
      </c>
      <c r="H33">
        <v>250</v>
      </c>
      <c r="I33">
        <v>47</v>
      </c>
      <c r="J33" s="221" t="str">
        <f>VLOOKUP($I33,色!$A$2:$B$225,2,FALSE)</f>
        <v>#79CF34</v>
      </c>
      <c r="K33" s="272"/>
      <c r="L33" t="str">
        <f t="shared" si="2"/>
        <v>3.37</v>
      </c>
    </row>
    <row r="34" spans="1:12">
      <c r="A34" t="s">
        <v>378</v>
      </c>
      <c r="B34" s="3" t="s">
        <v>25</v>
      </c>
      <c r="C34">
        <v>12</v>
      </c>
      <c r="D34" t="str">
        <f>_xlfn.XLOOKUP(C34,カテゴリ!$A:$A,カテゴリ!$B:$B,"不明")</f>
        <v>冷蔵貨物</v>
      </c>
      <c r="E34">
        <f t="shared" si="4"/>
        <v>2.6999999999999997</v>
      </c>
      <c r="F34">
        <f t="shared" si="1"/>
        <v>162</v>
      </c>
      <c r="G34">
        <v>25</v>
      </c>
      <c r="H34">
        <v>450</v>
      </c>
      <c r="I34">
        <v>131</v>
      </c>
      <c r="J34" s="221" t="str">
        <f>VLOOKUP($I34,色!$A$2:$B$225,2,FALSE)</f>
        <v>#C00000</v>
      </c>
      <c r="K34" s="252"/>
      <c r="L34" t="str">
        <f t="shared" si="2"/>
        <v>5.40</v>
      </c>
    </row>
    <row r="35" spans="1:12">
      <c r="A35" t="s">
        <v>356</v>
      </c>
      <c r="B35" s="3" t="s">
        <v>355</v>
      </c>
      <c r="C35">
        <v>12</v>
      </c>
      <c r="D35" t="str">
        <f>_xlfn.XLOOKUP(C35,カテゴリ!$A:$A,カテゴリ!$B:$B,"不明")</f>
        <v>冷蔵貨物</v>
      </c>
      <c r="E35">
        <f t="shared" si="4"/>
        <v>5.3999999999999995</v>
      </c>
      <c r="F35">
        <f t="shared" si="1"/>
        <v>324</v>
      </c>
      <c r="G35">
        <v>10</v>
      </c>
      <c r="H35">
        <v>900</v>
      </c>
      <c r="I35">
        <v>103</v>
      </c>
      <c r="J35" s="221" t="str">
        <f>VLOOKUP($I35,色!$A$2:$B$225,2,FALSE)</f>
        <v>#60A0FF</v>
      </c>
      <c r="K35" s="277"/>
      <c r="L35" t="str">
        <f t="shared" si="2"/>
        <v>10.80</v>
      </c>
    </row>
    <row r="36" spans="1:12">
      <c r="A36" t="s">
        <v>380</v>
      </c>
      <c r="B36" s="3" t="s">
        <v>352</v>
      </c>
      <c r="C36">
        <v>12</v>
      </c>
      <c r="D36" t="str">
        <f>_xlfn.XLOOKUP(C36,カテゴリ!$A:$A,カテゴリ!$B:$B,"不明")</f>
        <v>冷蔵貨物</v>
      </c>
      <c r="E36">
        <f t="shared" si="4"/>
        <v>6.1800000000000006</v>
      </c>
      <c r="F36">
        <f t="shared" si="1"/>
        <v>371</v>
      </c>
      <c r="G36">
        <v>10</v>
      </c>
      <c r="H36">
        <v>1030</v>
      </c>
      <c r="I36">
        <v>175</v>
      </c>
      <c r="J36" s="221" t="str">
        <f>VLOOKUP($I36,色!$A$2:$B$225,2,FALSE)</f>
        <v>#FFFFAC</v>
      </c>
      <c r="K36" s="275"/>
      <c r="L36" t="str">
        <f t="shared" si="2"/>
        <v>12.37</v>
      </c>
    </row>
    <row r="37" spans="1:12">
      <c r="A37" t="s">
        <v>353</v>
      </c>
      <c r="B37" s="3" t="s">
        <v>354</v>
      </c>
      <c r="C37">
        <v>12</v>
      </c>
      <c r="D37" t="str">
        <f>_xlfn.XLOOKUP(C37,カテゴリ!$A:$A,カテゴリ!$B:$B,"不明")</f>
        <v>冷蔵貨物</v>
      </c>
      <c r="E37">
        <f t="shared" si="4"/>
        <v>5.3999999999999995</v>
      </c>
      <c r="F37">
        <f t="shared" si="1"/>
        <v>324</v>
      </c>
      <c r="G37">
        <v>15</v>
      </c>
      <c r="H37">
        <v>900</v>
      </c>
      <c r="I37">
        <v>174</v>
      </c>
      <c r="J37" s="221" t="str">
        <f>VLOOKUP($I37,色!$A$2:$B$225,2,FALSE)</f>
        <v>#FFFF80</v>
      </c>
      <c r="K37" s="250"/>
      <c r="L37" t="str">
        <f t="shared" si="2"/>
        <v>10.80</v>
      </c>
    </row>
    <row r="38" spans="1:12">
      <c r="A38" t="s">
        <v>377</v>
      </c>
      <c r="B38" s="3" t="s">
        <v>36</v>
      </c>
      <c r="C38">
        <v>12</v>
      </c>
      <c r="D38" t="str">
        <f>_xlfn.XLOOKUP(C38,カテゴリ!$A:$A,カテゴリ!$B:$B,"不明")</f>
        <v>冷蔵貨物</v>
      </c>
      <c r="E38">
        <f t="shared" si="4"/>
        <v>3</v>
      </c>
      <c r="F38">
        <f t="shared" si="1"/>
        <v>180</v>
      </c>
      <c r="G38">
        <v>25</v>
      </c>
      <c r="H38">
        <v>500</v>
      </c>
      <c r="I38">
        <v>76</v>
      </c>
      <c r="J38" s="221" t="str">
        <f>VLOOKUP($I38,色!$A$2:$B$225,2,FALSE)</f>
        <v>#B73E8A</v>
      </c>
      <c r="K38" s="254"/>
      <c r="L38" t="str">
        <f t="shared" si="2"/>
        <v>6.00</v>
      </c>
    </row>
    <row r="39" spans="1:12">
      <c r="A39" t="s">
        <v>34</v>
      </c>
      <c r="B39" s="3" t="s">
        <v>35</v>
      </c>
      <c r="C39">
        <v>12</v>
      </c>
      <c r="D39" t="str">
        <f>_xlfn.XLOOKUP(C39,カテゴリ!$A:$A,カテゴリ!$B:$B,"不明")</f>
        <v>冷蔵貨物</v>
      </c>
      <c r="E39">
        <f t="shared" si="4"/>
        <v>3.9</v>
      </c>
      <c r="F39">
        <f t="shared" si="1"/>
        <v>234</v>
      </c>
      <c r="G39">
        <v>25</v>
      </c>
      <c r="H39">
        <v>650</v>
      </c>
      <c r="I39">
        <v>167</v>
      </c>
      <c r="J39" s="221" t="str">
        <f>VLOOKUP($I39,色!$A$2:$B$225,2,FALSE)</f>
        <v>#80A82C</v>
      </c>
      <c r="K39" s="253"/>
      <c r="L39" t="str">
        <f t="shared" si="2"/>
        <v>7.80</v>
      </c>
    </row>
    <row r="40" spans="1:12">
      <c r="A40" t="s">
        <v>37</v>
      </c>
      <c r="B40" s="3" t="s">
        <v>38</v>
      </c>
      <c r="C40">
        <v>12</v>
      </c>
      <c r="D40" t="str">
        <f>_xlfn.XLOOKUP(C40,カテゴリ!$A:$A,カテゴリ!$B:$B,"不明")</f>
        <v>冷蔵貨物</v>
      </c>
      <c r="E40">
        <f t="shared" si="4"/>
        <v>3.3</v>
      </c>
      <c r="F40">
        <f t="shared" si="1"/>
        <v>198</v>
      </c>
      <c r="G40">
        <v>25</v>
      </c>
      <c r="H40">
        <v>550</v>
      </c>
      <c r="I40">
        <v>60</v>
      </c>
      <c r="J40" s="221" t="str">
        <f>VLOOKUP($I40,色!$A$2:$B$225,2,FALSE)</f>
        <v>#A045BF</v>
      </c>
      <c r="K40" s="255"/>
      <c r="L40" t="str">
        <f t="shared" si="2"/>
        <v>6.60</v>
      </c>
    </row>
    <row r="41" spans="1:12">
      <c r="A41" t="s">
        <v>95</v>
      </c>
      <c r="B41" s="3" t="s">
        <v>55</v>
      </c>
      <c r="C41">
        <v>13</v>
      </c>
      <c r="D41" t="str">
        <f>_xlfn.XLOOKUP(C41,カテゴリ!$A:$A,カテゴリ!$B:$B,"不明")</f>
        <v>冷凍貨物</v>
      </c>
      <c r="E41">
        <v>0</v>
      </c>
      <c r="F41">
        <f t="shared" si="1"/>
        <v>0</v>
      </c>
      <c r="G41">
        <v>0</v>
      </c>
      <c r="H41">
        <v>0</v>
      </c>
      <c r="L41" t="str">
        <f t="shared" si="2"/>
        <v>0.00</v>
      </c>
    </row>
    <row r="42" spans="1:12">
      <c r="A42" t="s">
        <v>96</v>
      </c>
      <c r="B42" s="3" t="s">
        <v>97</v>
      </c>
      <c r="C42">
        <v>13</v>
      </c>
      <c r="D42" t="str">
        <f>_xlfn.XLOOKUP(C42,カテゴリ!$A:$A,カテゴリ!$B:$B,"不明")</f>
        <v>冷凍貨物</v>
      </c>
      <c r="E42">
        <f>MAX(280,H42)*50/10000*1.2+0.2</f>
        <v>4.4000000000000004</v>
      </c>
      <c r="F42">
        <f t="shared" si="1"/>
        <v>264</v>
      </c>
      <c r="G42">
        <v>15</v>
      </c>
      <c r="H42">
        <v>700</v>
      </c>
      <c r="I42">
        <v>151</v>
      </c>
      <c r="J42" s="221" t="str">
        <f>VLOOKUP($I42,色!$A$2:$B$225,2,FALSE)</f>
        <v>#0080FF</v>
      </c>
      <c r="K42" s="246"/>
      <c r="L42" t="str">
        <f t="shared" si="2"/>
        <v>8.80</v>
      </c>
    </row>
    <row r="43" spans="1:12">
      <c r="A43" t="s">
        <v>348</v>
      </c>
      <c r="B43" s="3" t="s">
        <v>349</v>
      </c>
      <c r="C43">
        <v>13</v>
      </c>
      <c r="D43" t="str">
        <f>_xlfn.XLOOKUP(C43,カテゴリ!$A:$A,カテゴリ!$B:$B,"不明")</f>
        <v>冷凍貨物</v>
      </c>
      <c r="E43">
        <f>MAX(280,H43)*50/10000*1.2+0.2</f>
        <v>4.4000000000000004</v>
      </c>
      <c r="F43">
        <f t="shared" si="1"/>
        <v>264</v>
      </c>
      <c r="G43">
        <v>15</v>
      </c>
      <c r="H43">
        <v>700</v>
      </c>
      <c r="I43">
        <v>134</v>
      </c>
      <c r="J43" s="221" t="str">
        <f>VLOOKUP($I43,色!$A$2:$B$225,2,FALSE)</f>
        <v>#FF6060</v>
      </c>
      <c r="K43" s="273"/>
      <c r="L43" t="str">
        <f t="shared" si="2"/>
        <v>8.80</v>
      </c>
    </row>
    <row r="44" spans="1:12">
      <c r="A44" t="s">
        <v>72</v>
      </c>
      <c r="B44" s="3" t="s">
        <v>71</v>
      </c>
      <c r="C44">
        <v>14</v>
      </c>
      <c r="D44" t="str">
        <f>_xlfn.XLOOKUP(C44,カテゴリ!$A:$A,カテゴリ!$B:$B,"不明")</f>
        <v>小荷物</v>
      </c>
      <c r="E44">
        <v>0</v>
      </c>
      <c r="F44">
        <f t="shared" si="1"/>
        <v>0</v>
      </c>
      <c r="G44">
        <v>0</v>
      </c>
      <c r="H44">
        <v>0</v>
      </c>
      <c r="L44" t="str">
        <f t="shared" si="2"/>
        <v>0.00</v>
      </c>
    </row>
    <row r="45" spans="1:12">
      <c r="A45" t="s">
        <v>8</v>
      </c>
      <c r="B45" s="3" t="s">
        <v>9</v>
      </c>
      <c r="C45">
        <v>14</v>
      </c>
      <c r="D45" t="str">
        <f>_xlfn.XLOOKUP(C45,カテゴリ!$A:$A,カテゴリ!$B:$B,"不明")</f>
        <v>小荷物</v>
      </c>
      <c r="E45">
        <f>MAX(28,H45)*90/10000</f>
        <v>0.252</v>
      </c>
      <c r="F45">
        <f t="shared" si="1"/>
        <v>15</v>
      </c>
      <c r="G45">
        <v>20</v>
      </c>
      <c r="H45">
        <v>20</v>
      </c>
      <c r="I45">
        <v>152</v>
      </c>
      <c r="J45" s="221" t="str">
        <f>VLOOKUP($I45,色!$A$2:$B$225,2,FALSE)</f>
        <v>#804000</v>
      </c>
      <c r="K45" s="257"/>
      <c r="L45" t="str">
        <f t="shared" si="2"/>
        <v>0.50</v>
      </c>
    </row>
    <row r="46" spans="1:12">
      <c r="A46" t="s">
        <v>70</v>
      </c>
      <c r="B46" s="3" t="s">
        <v>69</v>
      </c>
      <c r="C46">
        <v>14</v>
      </c>
      <c r="D46" t="str">
        <f>_xlfn.XLOOKUP(C46,カテゴリ!$A:$A,カテゴリ!$B:$B,"不明")</f>
        <v>小荷物</v>
      </c>
      <c r="E46">
        <f>MAX(28,H46)*90/10000</f>
        <v>0.76500000000000001</v>
      </c>
      <c r="F46">
        <f t="shared" si="1"/>
        <v>46</v>
      </c>
      <c r="G46">
        <v>16</v>
      </c>
      <c r="H46">
        <v>85</v>
      </c>
      <c r="I46">
        <v>212</v>
      </c>
      <c r="J46" s="221" t="str">
        <f>VLOOKUP($I46,色!$A$2:$B$225,2,FALSE)</f>
        <v>#606060</v>
      </c>
      <c r="K46" s="258"/>
      <c r="L46" t="str">
        <f t="shared" si="2"/>
        <v>1.53</v>
      </c>
    </row>
    <row r="47" spans="1:12">
      <c r="A47" t="s">
        <v>78</v>
      </c>
      <c r="B47" s="3" t="s">
        <v>56</v>
      </c>
      <c r="C47">
        <v>21</v>
      </c>
      <c r="D47" t="str">
        <f>_xlfn.XLOOKUP(C47,カテゴリ!$A:$A,カテゴリ!$B:$B,"不明")</f>
        <v>ばら積み貨物</v>
      </c>
      <c r="E47">
        <v>0</v>
      </c>
      <c r="F47">
        <f t="shared" si="1"/>
        <v>0</v>
      </c>
      <c r="G47">
        <v>0</v>
      </c>
      <c r="H47">
        <v>0</v>
      </c>
      <c r="L47" t="str">
        <f t="shared" si="2"/>
        <v>0.00</v>
      </c>
    </row>
    <row r="48" spans="1:12">
      <c r="A48" t="s">
        <v>79</v>
      </c>
      <c r="B48" s="3" t="s">
        <v>80</v>
      </c>
      <c r="C48">
        <v>21</v>
      </c>
      <c r="D48" t="str">
        <f>_xlfn.XLOOKUP(C48,カテゴリ!$A:$A,カテゴリ!$B:$B,"不明")</f>
        <v>ばら積み貨物</v>
      </c>
      <c r="E48">
        <f>MAX(280,H48)*70/10000</f>
        <v>7</v>
      </c>
      <c r="F48">
        <f t="shared" si="1"/>
        <v>420</v>
      </c>
      <c r="G48">
        <v>0</v>
      </c>
      <c r="H48">
        <v>1000</v>
      </c>
      <c r="I48">
        <v>112</v>
      </c>
      <c r="J48" s="221" t="str">
        <f>VLOOKUP($I48,色!$A$2:$B$225,2,FALSE)</f>
        <v>#3F120C</v>
      </c>
      <c r="K48" s="259"/>
      <c r="L48" t="str">
        <f t="shared" si="2"/>
        <v>14.00</v>
      </c>
    </row>
    <row r="49" spans="1:12">
      <c r="A49" t="s">
        <v>81</v>
      </c>
      <c r="B49" s="3" t="s">
        <v>82</v>
      </c>
      <c r="C49">
        <v>21</v>
      </c>
      <c r="D49" t="str">
        <f>_xlfn.XLOOKUP(C49,カテゴリ!$A:$A,カテゴリ!$B:$B,"不明")</f>
        <v>ばら積み貨物</v>
      </c>
      <c r="E49">
        <f t="shared" ref="E49:E50" si="5">MAX(280,H49)*70/10000</f>
        <v>7</v>
      </c>
      <c r="F49">
        <f t="shared" si="1"/>
        <v>420</v>
      </c>
      <c r="G49">
        <v>0</v>
      </c>
      <c r="H49">
        <v>1000</v>
      </c>
      <c r="I49">
        <v>176</v>
      </c>
      <c r="J49" s="221" t="str">
        <f>VLOOKUP($I49,色!$A$2:$B$225,2,FALSE)</f>
        <v>#200400</v>
      </c>
      <c r="K49" s="260"/>
      <c r="L49" t="str">
        <f t="shared" si="2"/>
        <v>14.00</v>
      </c>
    </row>
    <row r="50" spans="1:12">
      <c r="A50" t="s">
        <v>83</v>
      </c>
      <c r="B50" s="3" t="s">
        <v>84</v>
      </c>
      <c r="C50">
        <v>21</v>
      </c>
      <c r="D50" t="str">
        <f>_xlfn.XLOOKUP(C50,カテゴリ!$A:$A,カテゴリ!$B:$B,"不明")</f>
        <v>ばら積み貨物</v>
      </c>
      <c r="E50">
        <f t="shared" si="5"/>
        <v>7</v>
      </c>
      <c r="F50">
        <f t="shared" si="1"/>
        <v>420</v>
      </c>
      <c r="G50">
        <v>5</v>
      </c>
      <c r="H50">
        <v>1000</v>
      </c>
      <c r="I50">
        <v>13</v>
      </c>
      <c r="J50" s="221" t="str">
        <f>VLOOKUP($I50,色!$A$2:$B$225,2,FALSE)</f>
        <v>#B5B5B5</v>
      </c>
      <c r="K50" s="261"/>
      <c r="L50" t="str">
        <f t="shared" si="2"/>
        <v>14.00</v>
      </c>
    </row>
    <row r="51" spans="1:12">
      <c r="A51" t="s">
        <v>85</v>
      </c>
      <c r="B51" s="3" t="s">
        <v>57</v>
      </c>
      <c r="C51">
        <v>22</v>
      </c>
      <c r="D51" t="str">
        <f>_xlfn.XLOOKUP(C51,カテゴリ!$A:$A,カテゴリ!$B:$B,"不明")</f>
        <v>粉粒体貨物</v>
      </c>
      <c r="E51">
        <v>0</v>
      </c>
      <c r="F51">
        <f t="shared" si="1"/>
        <v>0</v>
      </c>
      <c r="G51">
        <v>0</v>
      </c>
      <c r="H51">
        <v>0</v>
      </c>
      <c r="L51" t="str">
        <f t="shared" si="2"/>
        <v>0.00</v>
      </c>
    </row>
    <row r="52" spans="1:12">
      <c r="A52" t="s">
        <v>86</v>
      </c>
      <c r="B52" s="3" t="s">
        <v>87</v>
      </c>
      <c r="C52">
        <v>22</v>
      </c>
      <c r="D52" t="str">
        <f>_xlfn.XLOOKUP(C52,カテゴリ!$A:$A,カテゴリ!$B:$B,"不明")</f>
        <v>粉粒体貨物</v>
      </c>
      <c r="E52">
        <f t="shared" ref="E52:E54" si="6">MAX(280,H52)*70/10000</f>
        <v>2.1</v>
      </c>
      <c r="F52">
        <f t="shared" si="1"/>
        <v>126</v>
      </c>
      <c r="G52">
        <v>0</v>
      </c>
      <c r="H52">
        <v>300</v>
      </c>
      <c r="I52">
        <v>159</v>
      </c>
      <c r="J52" s="221" t="str">
        <f>VLOOKUP($I52,色!$A$2:$B$225,2,FALSE)</f>
        <v>#FFC184</v>
      </c>
      <c r="K52" s="262"/>
      <c r="L52" t="str">
        <f t="shared" si="2"/>
        <v>4.20</v>
      </c>
    </row>
    <row r="53" spans="1:12">
      <c r="A53" t="s">
        <v>381</v>
      </c>
      <c r="B53" s="3" t="s">
        <v>369</v>
      </c>
      <c r="C53">
        <v>22</v>
      </c>
      <c r="D53" t="str">
        <f>_xlfn.XLOOKUP(C53,カテゴリ!$A:$A,カテゴリ!$B:$B,"不明")</f>
        <v>粉粒体貨物</v>
      </c>
      <c r="E53">
        <f t="shared" si="6"/>
        <v>3.85</v>
      </c>
      <c r="F53">
        <f t="shared" si="1"/>
        <v>231</v>
      </c>
      <c r="G53">
        <v>0</v>
      </c>
      <c r="H53">
        <v>550</v>
      </c>
      <c r="I53">
        <v>27</v>
      </c>
      <c r="J53" s="221" t="str">
        <f>VLOOKUP($I53,色!$A$2:$B$225,2,FALSE)</f>
        <v>#B49D07</v>
      </c>
      <c r="K53" s="283"/>
      <c r="L53" t="str">
        <f t="shared" si="2"/>
        <v>7.70</v>
      </c>
    </row>
    <row r="54" spans="1:12">
      <c r="A54" t="s">
        <v>367</v>
      </c>
      <c r="B54" s="3" t="s">
        <v>368</v>
      </c>
      <c r="C54">
        <v>22</v>
      </c>
      <c r="D54" t="str">
        <f>_xlfn.XLOOKUP(C54,カテゴリ!$A:$A,カテゴリ!$B:$B,"不明")</f>
        <v>粉粒体貨物</v>
      </c>
      <c r="E54">
        <f t="shared" si="6"/>
        <v>5.39</v>
      </c>
      <c r="F54">
        <f t="shared" si="1"/>
        <v>323</v>
      </c>
      <c r="G54">
        <v>0</v>
      </c>
      <c r="H54">
        <v>770</v>
      </c>
      <c r="I54">
        <v>29</v>
      </c>
      <c r="J54" s="221" t="str">
        <f>VLOOKUP($I54,色!$A$2:$B$225,2,FALSE)</f>
        <v>#D9CB0A</v>
      </c>
      <c r="K54" s="282"/>
      <c r="L54" t="str">
        <f t="shared" si="2"/>
        <v>10.77</v>
      </c>
    </row>
    <row r="55" spans="1:12">
      <c r="A55" t="s">
        <v>65</v>
      </c>
      <c r="B55" s="3" t="s">
        <v>58</v>
      </c>
      <c r="C55">
        <v>23</v>
      </c>
      <c r="D55" t="str">
        <f>_xlfn.XLOOKUP(C55,カテゴリ!$A:$A,カテゴリ!$B:$B,"不明")</f>
        <v>廃棄物</v>
      </c>
      <c r="E55">
        <v>0</v>
      </c>
      <c r="F55">
        <f t="shared" si="1"/>
        <v>0</v>
      </c>
      <c r="G55">
        <v>0</v>
      </c>
      <c r="H55">
        <v>0</v>
      </c>
      <c r="L55" t="str">
        <f t="shared" si="2"/>
        <v>0.00</v>
      </c>
    </row>
    <row r="56" spans="1:12">
      <c r="A56" t="s">
        <v>66</v>
      </c>
      <c r="B56" s="3" t="s">
        <v>58</v>
      </c>
      <c r="C56">
        <v>23</v>
      </c>
      <c r="D56" t="str">
        <f>_xlfn.XLOOKUP(C56,カテゴリ!$A:$A,カテゴリ!$B:$B,"不明")</f>
        <v>廃棄物</v>
      </c>
      <c r="E56">
        <f t="shared" ref="E56:E57" si="7">MAX(280,H56)*70/10000</f>
        <v>1.96</v>
      </c>
      <c r="F56">
        <f t="shared" si="1"/>
        <v>118</v>
      </c>
      <c r="G56">
        <v>10</v>
      </c>
      <c r="H56">
        <v>200</v>
      </c>
      <c r="I56">
        <v>216</v>
      </c>
      <c r="J56" s="221" t="str">
        <f>VLOOKUP($I56,色!$A$2:$B$225,2,FALSE)</f>
        <v>#292936</v>
      </c>
      <c r="K56" s="263"/>
      <c r="L56" t="str">
        <f t="shared" si="2"/>
        <v>3.93</v>
      </c>
    </row>
    <row r="57" spans="1:12">
      <c r="A57" t="s">
        <v>49</v>
      </c>
      <c r="B57" s="3" t="s">
        <v>50</v>
      </c>
      <c r="C57">
        <v>23</v>
      </c>
      <c r="D57" t="str">
        <f>_xlfn.XLOOKUP(C57,カテゴリ!$A:$A,カテゴリ!$B:$B,"不明")</f>
        <v>廃棄物</v>
      </c>
      <c r="E57">
        <f t="shared" si="7"/>
        <v>1.96</v>
      </c>
      <c r="F57">
        <f t="shared" si="1"/>
        <v>118</v>
      </c>
      <c r="G57">
        <v>5</v>
      </c>
      <c r="H57">
        <v>150</v>
      </c>
      <c r="I57">
        <v>220</v>
      </c>
      <c r="J57" s="221" t="str">
        <f>VLOOKUP($I57,色!$A$2:$B$225,2,FALSE)</f>
        <v>#716996</v>
      </c>
      <c r="K57" s="264"/>
      <c r="L57" t="str">
        <f t="shared" si="2"/>
        <v>3.93</v>
      </c>
    </row>
    <row r="58" spans="1:12">
      <c r="A58" t="s">
        <v>88</v>
      </c>
      <c r="B58" s="3" t="s">
        <v>59</v>
      </c>
      <c r="C58">
        <v>24</v>
      </c>
      <c r="D58" t="str">
        <f>_xlfn.XLOOKUP(C58,カテゴリ!$A:$A,カテゴリ!$B:$B,"不明")</f>
        <v>長物貨物</v>
      </c>
      <c r="E58">
        <v>0</v>
      </c>
      <c r="F58">
        <f t="shared" si="1"/>
        <v>0</v>
      </c>
      <c r="G58">
        <v>0</v>
      </c>
      <c r="H58">
        <v>0</v>
      </c>
      <c r="L58" t="str">
        <f t="shared" si="2"/>
        <v>0.00</v>
      </c>
    </row>
    <row r="59" spans="1:12">
      <c r="A59" t="s">
        <v>89</v>
      </c>
      <c r="B59" s="3" t="s">
        <v>115</v>
      </c>
      <c r="C59">
        <v>24</v>
      </c>
      <c r="D59" t="str">
        <f>_xlfn.XLOOKUP(C59,カテゴリ!$A:$A,カテゴリ!$B:$B,"不明")</f>
        <v>長物貨物</v>
      </c>
      <c r="E59">
        <f t="shared" ref="E59:E61" si="8">MAX(280,H59)*70/10000</f>
        <v>3.15</v>
      </c>
      <c r="F59">
        <f t="shared" si="1"/>
        <v>189</v>
      </c>
      <c r="G59">
        <v>5</v>
      </c>
      <c r="H59">
        <v>450</v>
      </c>
      <c r="I59">
        <v>94</v>
      </c>
      <c r="J59" s="221" t="str">
        <f>VLOOKUP($I59,色!$A$2:$B$225,2,FALSE)</f>
        <v>#E2AD73</v>
      </c>
      <c r="K59" s="265"/>
      <c r="L59" t="str">
        <f t="shared" si="2"/>
        <v>6.30</v>
      </c>
    </row>
    <row r="60" spans="1:12">
      <c r="A60" t="s">
        <v>90</v>
      </c>
      <c r="B60" s="3" t="s">
        <v>116</v>
      </c>
      <c r="C60">
        <v>24</v>
      </c>
      <c r="D60" t="str">
        <f>_xlfn.XLOOKUP(C60,カテゴリ!$A:$A,カテゴリ!$B:$B,"不明")</f>
        <v>長物貨物</v>
      </c>
      <c r="E60">
        <f t="shared" si="8"/>
        <v>6.3</v>
      </c>
      <c r="F60">
        <f t="shared" si="1"/>
        <v>378</v>
      </c>
      <c r="G60">
        <v>7</v>
      </c>
      <c r="H60">
        <v>900</v>
      </c>
      <c r="I60">
        <v>152</v>
      </c>
      <c r="J60" s="221" t="str">
        <f>VLOOKUP($I60,色!$A$2:$B$225,2,FALSE)</f>
        <v>#804000</v>
      </c>
      <c r="K60" s="257"/>
      <c r="L60" t="str">
        <f t="shared" si="2"/>
        <v>12.60</v>
      </c>
    </row>
    <row r="61" spans="1:12">
      <c r="A61" t="s">
        <v>12</v>
      </c>
      <c r="B61" s="3" t="s">
        <v>13</v>
      </c>
      <c r="C61">
        <v>24</v>
      </c>
      <c r="D61" t="str">
        <f>_xlfn.XLOOKUP(C61,カテゴリ!$A:$A,カテゴリ!$B:$B,"不明")</f>
        <v>長物貨物</v>
      </c>
      <c r="E61">
        <f t="shared" si="8"/>
        <v>7</v>
      </c>
      <c r="F61">
        <f t="shared" si="1"/>
        <v>420</v>
      </c>
      <c r="G61">
        <v>2</v>
      </c>
      <c r="H61">
        <v>1000</v>
      </c>
      <c r="I61">
        <v>213</v>
      </c>
      <c r="J61" s="221" t="str">
        <f>VLOOKUP($I61,色!$A$2:$B$225,2,FALSE)</f>
        <v>#ACACAC</v>
      </c>
      <c r="K61" s="233"/>
      <c r="L61" t="str">
        <f t="shared" si="2"/>
        <v>14.00</v>
      </c>
    </row>
    <row r="62" spans="1:12">
      <c r="A62" t="s">
        <v>91</v>
      </c>
      <c r="B62" s="3" t="s">
        <v>92</v>
      </c>
      <c r="C62">
        <v>25</v>
      </c>
      <c r="D62" t="str">
        <f>_xlfn.XLOOKUP(C62,カテゴリ!$A:$A,カテゴリ!$B:$B,"不明")</f>
        <v>水産物</v>
      </c>
      <c r="E62">
        <v>0</v>
      </c>
      <c r="F62">
        <f t="shared" si="1"/>
        <v>0</v>
      </c>
      <c r="G62">
        <v>0</v>
      </c>
      <c r="H62">
        <v>0</v>
      </c>
      <c r="L62" t="str">
        <f t="shared" si="2"/>
        <v>0.00</v>
      </c>
    </row>
    <row r="63" spans="1:12">
      <c r="A63" t="s">
        <v>93</v>
      </c>
      <c r="B63" s="3" t="s">
        <v>94</v>
      </c>
      <c r="C63">
        <v>25</v>
      </c>
      <c r="D63" t="str">
        <f>_xlfn.XLOOKUP(C63,カテゴリ!$A:$A,カテゴリ!$B:$B,"不明")</f>
        <v>水産物</v>
      </c>
      <c r="E63">
        <f>MAX(280,H63)*70/10000</f>
        <v>7</v>
      </c>
      <c r="F63">
        <f t="shared" si="1"/>
        <v>420</v>
      </c>
      <c r="G63">
        <v>20</v>
      </c>
      <c r="H63">
        <v>1000</v>
      </c>
      <c r="I63">
        <v>144</v>
      </c>
      <c r="J63" s="221" t="str">
        <f>VLOOKUP($I63,色!$A$2:$B$225,2,FALSE)</f>
        <v>#000080</v>
      </c>
      <c r="K63" s="256"/>
      <c r="L63" t="str">
        <f t="shared" si="2"/>
        <v>14.00</v>
      </c>
    </row>
    <row r="64" spans="1:12">
      <c r="A64" t="s">
        <v>98</v>
      </c>
      <c r="B64" s="3" t="s">
        <v>60</v>
      </c>
      <c r="C64">
        <v>31</v>
      </c>
      <c r="D64" t="str">
        <f>_xlfn.XLOOKUP(C64,カテゴリ!$A:$A,カテゴリ!$B:$B,"不明")</f>
        <v>液体貨物</v>
      </c>
      <c r="E64">
        <v>0</v>
      </c>
      <c r="F64">
        <f t="shared" si="1"/>
        <v>0</v>
      </c>
      <c r="G64">
        <v>0</v>
      </c>
      <c r="H64">
        <v>0</v>
      </c>
      <c r="L64" t="str">
        <f t="shared" si="2"/>
        <v>0.00</v>
      </c>
    </row>
    <row r="65" spans="1:12">
      <c r="A65" t="s">
        <v>99</v>
      </c>
      <c r="B65" s="3" t="s">
        <v>100</v>
      </c>
      <c r="C65">
        <v>31</v>
      </c>
      <c r="D65" t="str">
        <f>_xlfn.XLOOKUP(C65,カテゴリ!$A:$A,カテゴリ!$B:$B,"不明")</f>
        <v>液体貨物</v>
      </c>
      <c r="E65">
        <f>MAX(280,H65)*50/10000*1.4</f>
        <v>5.25</v>
      </c>
      <c r="F65">
        <f t="shared" si="1"/>
        <v>315</v>
      </c>
      <c r="G65">
        <v>5</v>
      </c>
      <c r="H65">
        <v>750</v>
      </c>
      <c r="I65">
        <v>133</v>
      </c>
      <c r="J65" s="221" t="str">
        <f>VLOOKUP($I65,色!$A$2:$B$225,2,FALSE)</f>
        <v>#FF4040</v>
      </c>
      <c r="K65" s="266"/>
      <c r="L65" t="str">
        <f t="shared" si="2"/>
        <v>10.50</v>
      </c>
    </row>
    <row r="66" spans="1:12">
      <c r="A66" t="s">
        <v>101</v>
      </c>
      <c r="B66" s="3" t="s">
        <v>102</v>
      </c>
      <c r="C66">
        <v>31</v>
      </c>
      <c r="D66" t="str">
        <f>_xlfn.XLOOKUP(C66,カテゴリ!$A:$A,カテゴリ!$B:$B,"不明")</f>
        <v>液体貨物</v>
      </c>
      <c r="E66">
        <f t="shared" ref="E66:E69" si="9">MAX(280,H66)*50/10000*1.4</f>
        <v>7</v>
      </c>
      <c r="F66">
        <f t="shared" si="1"/>
        <v>420</v>
      </c>
      <c r="G66">
        <v>5</v>
      </c>
      <c r="H66">
        <v>1000</v>
      </c>
      <c r="I66">
        <v>55</v>
      </c>
      <c r="J66" s="221" t="str">
        <f>VLOOKUP($I66,色!$A$2:$B$225,2,FALSE)</f>
        <v>#00F1DB</v>
      </c>
      <c r="K66" s="267"/>
      <c r="L66" t="str">
        <f t="shared" si="2"/>
        <v>14.00</v>
      </c>
    </row>
    <row r="67" spans="1:12">
      <c r="A67" t="s">
        <v>379</v>
      </c>
      <c r="B67" s="3" t="s">
        <v>347</v>
      </c>
      <c r="C67">
        <v>31</v>
      </c>
      <c r="D67" t="str">
        <f>_xlfn.XLOOKUP(C67,カテゴリ!$A:$A,カテゴリ!$B:$B,"不明")</f>
        <v>液体貨物</v>
      </c>
      <c r="E67">
        <f t="shared" si="9"/>
        <v>4.8999999999999995</v>
      </c>
      <c r="F67">
        <f t="shared" ref="F67:F69" si="10">ROUND(E67*60,0)</f>
        <v>294</v>
      </c>
      <c r="G67">
        <v>2</v>
      </c>
      <c r="H67">
        <v>700</v>
      </c>
      <c r="I67">
        <v>150</v>
      </c>
      <c r="J67" s="221" t="str">
        <f>VLOOKUP($I67,色!$A$2:$B$225,2,FALSE)</f>
        <v>#006AFF</v>
      </c>
      <c r="K67" s="268"/>
      <c r="L67" t="str">
        <f t="shared" si="2"/>
        <v>9.80</v>
      </c>
    </row>
    <row r="68" spans="1:12">
      <c r="A68" t="s">
        <v>103</v>
      </c>
      <c r="B68" s="3" t="s">
        <v>104</v>
      </c>
      <c r="C68">
        <v>31</v>
      </c>
      <c r="D68" t="str">
        <f>_xlfn.XLOOKUP(C68,カテゴリ!$A:$A,カテゴリ!$B:$B,"不明")</f>
        <v>液体貨物</v>
      </c>
      <c r="E68">
        <f t="shared" si="9"/>
        <v>5.9499999999999993</v>
      </c>
      <c r="F68">
        <f t="shared" si="10"/>
        <v>357</v>
      </c>
      <c r="G68">
        <v>0</v>
      </c>
      <c r="H68">
        <v>850</v>
      </c>
      <c r="I68">
        <v>184</v>
      </c>
      <c r="J68" s="221" t="str">
        <f>VLOOKUP($I68,色!$A$2:$B$225,2,FALSE)</f>
        <v>#400000</v>
      </c>
      <c r="K68" s="269"/>
      <c r="L68" t="str">
        <f t="shared" si="2"/>
        <v>11.90</v>
      </c>
    </row>
    <row r="69" spans="1:12">
      <c r="A69" t="s">
        <v>105</v>
      </c>
      <c r="B69" s="3" t="s">
        <v>106</v>
      </c>
      <c r="C69">
        <v>31</v>
      </c>
      <c r="D69" t="str">
        <f>_xlfn.XLOOKUP(C69,カテゴリ!$A:$A,カテゴリ!$B:$B,"不明")</f>
        <v>液体貨物</v>
      </c>
      <c r="E69">
        <f t="shared" si="9"/>
        <v>6.3</v>
      </c>
      <c r="F69">
        <f t="shared" si="10"/>
        <v>378</v>
      </c>
      <c r="G69">
        <v>5</v>
      </c>
      <c r="H69">
        <v>900</v>
      </c>
      <c r="I69">
        <v>209</v>
      </c>
      <c r="J69" s="221" t="str">
        <f>VLOOKUP($I69,色!$A$2:$B$225,2,FALSE)</f>
        <v>#303030</v>
      </c>
      <c r="K69" s="270"/>
      <c r="L69" t="str">
        <f t="shared" ref="L69" si="11">IFERROR(FIXED($F69/_xlfn.XLOOKUP("Passagiere",$A:$A,$F:$F),2),"-")</f>
        <v>12.60</v>
      </c>
    </row>
  </sheetData>
  <phoneticPr fontId="1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8B5A0-E6B4-4A25-A276-BF2292C28C5F}">
  <dimension ref="A1:F41"/>
  <sheetViews>
    <sheetView workbookViewId="0">
      <pane ySplit="1" topLeftCell="A2" activePane="bottomLeft" state="frozen"/>
      <selection pane="bottomLeft"/>
    </sheetView>
  </sheetViews>
  <sheetFormatPr defaultRowHeight="18.75"/>
  <cols>
    <col min="2" max="2" width="17.25" bestFit="1" customWidth="1"/>
    <col min="3" max="3" width="9.625" bestFit="1" customWidth="1"/>
    <col min="4" max="4" width="9" bestFit="1" customWidth="1"/>
  </cols>
  <sheetData>
    <row r="1" spans="1:6" s="1" customFormat="1">
      <c r="A1" s="1" t="s">
        <v>51</v>
      </c>
      <c r="B1" s="1" t="s">
        <v>52</v>
      </c>
      <c r="C1" s="1" t="s">
        <v>110</v>
      </c>
      <c r="D1" s="1" t="s">
        <v>384</v>
      </c>
      <c r="E1" s="1" t="s">
        <v>385</v>
      </c>
      <c r="F1" s="1" t="s">
        <v>383</v>
      </c>
    </row>
    <row r="2" spans="1:6">
      <c r="A2">
        <v>0</v>
      </c>
      <c r="B2" t="s">
        <v>53</v>
      </c>
      <c r="D2" t="str">
        <f>IFERROR(FIXED(AVERAGEIF(貨物!$C:$C,$A2,貨物!$F:$F),2),"-")</f>
        <v>187.50</v>
      </c>
      <c r="E2" t="str">
        <f>IFERROR(FIXED(_xlfn.MAXIFS(貨物!F:F,貨物!C:C,A2),2),"-")</f>
        <v>420.00</v>
      </c>
      <c r="F2" t="str">
        <f>IFERROR(FIXED($E2/_xlfn.XLOOKUP("Passagiere",貨物!$A:$A,貨物!$F:$F),2),"-")</f>
        <v>14.00</v>
      </c>
    </row>
    <row r="3" spans="1:6">
      <c r="A3">
        <v>1</v>
      </c>
      <c r="B3" t="s">
        <v>382</v>
      </c>
      <c r="D3" t="str">
        <f>IFERROR(FIXED(AVERAGEIF(貨物!$C:$C,$A3,貨物!$F:$F),2),"-")</f>
        <v>-</v>
      </c>
      <c r="E3" t="str">
        <f>IFERROR(FIXED(_xlfn.MAXIFS(貨物!F:F,貨物!C:C,A3),2),"-")</f>
        <v>0.00</v>
      </c>
      <c r="F3" t="str">
        <f>IFERROR(FIXED($E3/_xlfn.XLOOKUP("Passagiere",貨物!$A:$A,貨物!$F:$F),2),"-")</f>
        <v>0.00</v>
      </c>
    </row>
    <row r="4" spans="1:6">
      <c r="A4">
        <v>2</v>
      </c>
      <c r="B4" t="s">
        <v>382</v>
      </c>
      <c r="D4" t="str">
        <f>IFERROR(FIXED(AVERAGEIF(貨物!$C:$C,$A4,貨物!$F:$F),2),"-")</f>
        <v>-</v>
      </c>
      <c r="E4" t="str">
        <f>IFERROR(FIXED(_xlfn.MAXIFS(貨物!F:F,貨物!C:C,A4),2),"-")</f>
        <v>0.00</v>
      </c>
      <c r="F4" t="str">
        <f>IFERROR(FIXED($E4/_xlfn.XLOOKUP("Passagiere",貨物!$A:$A,貨物!$F:$F),2),"-")</f>
        <v>0.00</v>
      </c>
    </row>
    <row r="5" spans="1:6">
      <c r="A5">
        <v>3</v>
      </c>
      <c r="B5" t="s">
        <v>382</v>
      </c>
      <c r="D5" t="str">
        <f>IFERROR(FIXED(AVERAGEIF(貨物!$C:$C,$A5,貨物!$F:$F),2),"-")</f>
        <v>-</v>
      </c>
      <c r="E5" t="str">
        <f>IFERROR(FIXED(_xlfn.MAXIFS(貨物!F:F,貨物!C:C,A5),2),"-")</f>
        <v>0.00</v>
      </c>
      <c r="F5" t="str">
        <f>IFERROR(FIXED($E5/_xlfn.XLOOKUP("Passagiere",貨物!$A:$A,貨物!$F:$F),2),"-")</f>
        <v>0.00</v>
      </c>
    </row>
    <row r="6" spans="1:6">
      <c r="A6">
        <v>4</v>
      </c>
      <c r="B6" t="s">
        <v>382</v>
      </c>
      <c r="D6" t="str">
        <f>IFERROR(FIXED(AVERAGEIF(貨物!$C:$C,$A6,貨物!$F:$F),2),"-")</f>
        <v>-</v>
      </c>
      <c r="E6" t="str">
        <f>IFERROR(FIXED(_xlfn.MAXIFS(貨物!F:F,貨物!C:C,A6),2),"-")</f>
        <v>0.00</v>
      </c>
      <c r="F6" t="str">
        <f>IFERROR(FIXED($E6/_xlfn.XLOOKUP("Passagiere",貨物!$A:$A,貨物!$F:$F),2),"-")</f>
        <v>0.00</v>
      </c>
    </row>
    <row r="7" spans="1:6">
      <c r="A7">
        <v>5</v>
      </c>
      <c r="B7" t="s">
        <v>382</v>
      </c>
      <c r="D7" t="str">
        <f>IFERROR(FIXED(AVERAGEIF(貨物!$C:$C,$A7,貨物!$F:$F),2),"-")</f>
        <v>-</v>
      </c>
      <c r="E7" t="str">
        <f>IFERROR(FIXED(_xlfn.MAXIFS(貨物!F:F,貨物!C:C,A7),2),"-")</f>
        <v>0.00</v>
      </c>
      <c r="F7" t="str">
        <f>IFERROR(FIXED($E7/_xlfn.XLOOKUP("Passagiere",貨物!$A:$A,貨物!$F:$F),2),"-")</f>
        <v>0.00</v>
      </c>
    </row>
    <row r="8" spans="1:6">
      <c r="A8">
        <v>6</v>
      </c>
      <c r="B8" t="s">
        <v>382</v>
      </c>
      <c r="D8" t="str">
        <f>IFERROR(FIXED(AVERAGEIF(貨物!$C:$C,$A8,貨物!$F:$F),2),"-")</f>
        <v>-</v>
      </c>
      <c r="E8" t="str">
        <f>IFERROR(FIXED(_xlfn.MAXIFS(貨物!F:F,貨物!C:C,A8),2),"-")</f>
        <v>0.00</v>
      </c>
      <c r="F8" t="str">
        <f>IFERROR(FIXED($E8/_xlfn.XLOOKUP("Passagiere",貨物!$A:$A,貨物!$F:$F),2),"-")</f>
        <v>0.00</v>
      </c>
    </row>
    <row r="9" spans="1:6">
      <c r="A9">
        <v>7</v>
      </c>
      <c r="B9" t="s">
        <v>382</v>
      </c>
      <c r="D9" t="str">
        <f>IFERROR(FIXED(AVERAGEIF(貨物!$C:$C,$A9,貨物!$F:$F),2),"-")</f>
        <v>-</v>
      </c>
      <c r="E9" t="str">
        <f>IFERROR(FIXED(_xlfn.MAXIFS(貨物!F:F,貨物!C:C,A9),2),"-")</f>
        <v>0.00</v>
      </c>
      <c r="F9" t="str">
        <f>IFERROR(FIXED($E9/_xlfn.XLOOKUP("Passagiere",貨物!$A:$A,貨物!$F:$F),2),"-")</f>
        <v>0.00</v>
      </c>
    </row>
    <row r="10" spans="1:6">
      <c r="A10">
        <v>8</v>
      </c>
      <c r="B10" t="s">
        <v>382</v>
      </c>
      <c r="D10" t="str">
        <f>IFERROR(FIXED(AVERAGEIF(貨物!$C:$C,$A10,貨物!$F:$F),2),"-")</f>
        <v>-</v>
      </c>
      <c r="E10" t="str">
        <f>IFERROR(FIXED(_xlfn.MAXIFS(貨物!F:F,貨物!C:C,A10),2),"-")</f>
        <v>0.00</v>
      </c>
      <c r="F10" t="str">
        <f>IFERROR(FIXED($E10/_xlfn.XLOOKUP("Passagiere",貨物!$A:$A,貨物!$F:$F),2),"-")</f>
        <v>0.00</v>
      </c>
    </row>
    <row r="11" spans="1:6">
      <c r="A11">
        <v>9</v>
      </c>
      <c r="B11" t="s">
        <v>382</v>
      </c>
      <c r="D11" t="str">
        <f>IFERROR(FIXED(AVERAGEIF(貨物!$C:$C,$A11,貨物!$F:$F),2),"-")</f>
        <v>-</v>
      </c>
      <c r="E11" t="str">
        <f>IFERROR(FIXED(_xlfn.MAXIFS(貨物!F:F,貨物!C:C,A11),2),"-")</f>
        <v>0.00</v>
      </c>
      <c r="F11" t="str">
        <f>IFERROR(FIXED($E11/_xlfn.XLOOKUP("Passagiere",貨物!$A:$A,貨物!$F:$F),2),"-")</f>
        <v>0.00</v>
      </c>
    </row>
    <row r="12" spans="1:6">
      <c r="A12">
        <v>10</v>
      </c>
      <c r="B12" t="s">
        <v>62</v>
      </c>
      <c r="D12" t="str">
        <f>IFERROR(FIXED(AVERAGEIF(貨物!$C:$C,$A12,貨物!$F:$F),2),"-")</f>
        <v>-</v>
      </c>
      <c r="E12" t="str">
        <f>IFERROR(FIXED(_xlfn.MAXIFS(貨物!F:F,貨物!C:C,A12),2),"-")</f>
        <v>0.00</v>
      </c>
      <c r="F12" t="str">
        <f>IFERROR(FIXED($E12/_xlfn.XLOOKUP("Passagiere",貨物!$A:$A,貨物!$F:$F),2),"-")</f>
        <v>0.00</v>
      </c>
    </row>
    <row r="13" spans="1:6">
      <c r="A13">
        <v>11</v>
      </c>
      <c r="B13" t="s">
        <v>17</v>
      </c>
      <c r="C13" t="s">
        <v>111</v>
      </c>
      <c r="D13" t="str">
        <f>IFERROR(FIXED(AVERAGEIF(貨物!$C:$C,$A13,貨物!$F:$F),2),"-")</f>
        <v>180.25</v>
      </c>
      <c r="E13" t="str">
        <f>IFERROR(FIXED(_xlfn.MAXIFS(貨物!F:F,貨物!C:C,A13),2),"-")</f>
        <v>360.00</v>
      </c>
      <c r="F13" t="str">
        <f>IFERROR(FIXED($E13/_xlfn.XLOOKUP("Passagiere",貨物!$A:$A,貨物!$F:$F),2),"-")</f>
        <v>12.00</v>
      </c>
    </row>
    <row r="14" spans="1:6">
      <c r="A14">
        <v>12</v>
      </c>
      <c r="B14" t="s">
        <v>54</v>
      </c>
      <c r="C14" t="s">
        <v>111</v>
      </c>
      <c r="D14" t="str">
        <f>IFERROR(FIXED(AVERAGEIF(貨物!$C:$C,$A14,貨物!$F:$F),2),"-")</f>
        <v>214.73</v>
      </c>
      <c r="E14" t="str">
        <f>IFERROR(FIXED(_xlfn.MAXIFS(貨物!F:F,貨物!C:C,A14),2),"-")</f>
        <v>371.00</v>
      </c>
      <c r="F14" t="str">
        <f>IFERROR(FIXED($E14/_xlfn.XLOOKUP("Passagiere",貨物!$A:$A,貨物!$F:$F),2),"-")</f>
        <v>12.37</v>
      </c>
    </row>
    <row r="15" spans="1:6">
      <c r="A15">
        <v>13</v>
      </c>
      <c r="B15" t="s">
        <v>55</v>
      </c>
      <c r="C15" t="s">
        <v>111</v>
      </c>
      <c r="D15" t="str">
        <f>IFERROR(FIXED(AVERAGEIF(貨物!$C:$C,$A15,貨物!$F:$F),2),"-")</f>
        <v>176.00</v>
      </c>
      <c r="E15" t="str">
        <f>IFERROR(FIXED(_xlfn.MAXIFS(貨物!F:F,貨物!C:C,A15),2),"-")</f>
        <v>264.00</v>
      </c>
      <c r="F15" t="str">
        <f>IFERROR(FIXED($E15/_xlfn.XLOOKUP("Passagiere",貨物!$A:$A,貨物!$F:$F),2),"-")</f>
        <v>8.80</v>
      </c>
    </row>
    <row r="16" spans="1:6">
      <c r="A16">
        <v>14</v>
      </c>
      <c r="B16" t="s">
        <v>71</v>
      </c>
      <c r="C16" t="s">
        <v>112</v>
      </c>
      <c r="D16" t="str">
        <f>IFERROR(FIXED(AVERAGEIF(貨物!$C:$C,$A16,貨物!$F:$F),2),"-")</f>
        <v>20.33</v>
      </c>
      <c r="E16" t="str">
        <f>IFERROR(FIXED(_xlfn.MAXIFS(貨物!F:F,貨物!C:C,A16),2),"-")</f>
        <v>46.00</v>
      </c>
      <c r="F16" t="str">
        <f>IFERROR(FIXED($E16/_xlfn.XLOOKUP("Passagiere",貨物!$A:$A,貨物!$F:$F),2),"-")</f>
        <v>1.53</v>
      </c>
    </row>
    <row r="17" spans="1:6">
      <c r="A17">
        <v>15</v>
      </c>
      <c r="B17" t="s">
        <v>382</v>
      </c>
      <c r="D17" t="str">
        <f>IFERROR(FIXED(AVERAGEIF(貨物!$C:$C,$A17,貨物!$F:$F),2),"-")</f>
        <v>-</v>
      </c>
      <c r="E17" t="str">
        <f>IFERROR(FIXED(_xlfn.MAXIFS(貨物!F:F,貨物!C:C,A17),2),"-")</f>
        <v>0.00</v>
      </c>
      <c r="F17" t="str">
        <f>IFERROR(FIXED($E17/_xlfn.XLOOKUP("Passagiere",貨物!$A:$A,貨物!$F:$F),2),"-")</f>
        <v>0.00</v>
      </c>
    </row>
    <row r="18" spans="1:6">
      <c r="A18">
        <v>16</v>
      </c>
      <c r="B18" t="s">
        <v>382</v>
      </c>
      <c r="D18" t="str">
        <f>IFERROR(FIXED(AVERAGEIF(貨物!$C:$C,$A18,貨物!$F:$F),2),"-")</f>
        <v>-</v>
      </c>
      <c r="E18" t="str">
        <f>IFERROR(FIXED(_xlfn.MAXIFS(貨物!F:F,貨物!C:C,A18),2),"-")</f>
        <v>0.00</v>
      </c>
      <c r="F18" t="str">
        <f>IFERROR(FIXED($E18/_xlfn.XLOOKUP("Passagiere",貨物!$A:$A,貨物!$F:$F),2),"-")</f>
        <v>0.00</v>
      </c>
    </row>
    <row r="19" spans="1:6">
      <c r="A19">
        <v>17</v>
      </c>
      <c r="B19" t="s">
        <v>382</v>
      </c>
      <c r="D19" t="str">
        <f>IFERROR(FIXED(AVERAGEIF(貨物!$C:$C,$A19,貨物!$F:$F),2),"-")</f>
        <v>-</v>
      </c>
      <c r="E19" t="str">
        <f>IFERROR(FIXED(_xlfn.MAXIFS(貨物!F:F,貨物!C:C,A19),2),"-")</f>
        <v>0.00</v>
      </c>
      <c r="F19" t="str">
        <f>IFERROR(FIXED($E19/_xlfn.XLOOKUP("Passagiere",貨物!$A:$A,貨物!$F:$F),2),"-")</f>
        <v>0.00</v>
      </c>
    </row>
    <row r="20" spans="1:6">
      <c r="A20">
        <v>18</v>
      </c>
      <c r="B20" t="s">
        <v>382</v>
      </c>
      <c r="D20" t="str">
        <f>IFERROR(FIXED(AVERAGEIF(貨物!$C:$C,$A20,貨物!$F:$F),2),"-")</f>
        <v>-</v>
      </c>
      <c r="E20" t="str">
        <f>IFERROR(FIXED(_xlfn.MAXIFS(貨物!F:F,貨物!C:C,A20),2),"-")</f>
        <v>0.00</v>
      </c>
      <c r="F20" t="str">
        <f>IFERROR(FIXED($E20/_xlfn.XLOOKUP("Passagiere",貨物!$A:$A,貨物!$F:$F),2),"-")</f>
        <v>0.00</v>
      </c>
    </row>
    <row r="21" spans="1:6">
      <c r="A21">
        <v>19</v>
      </c>
      <c r="B21" t="s">
        <v>382</v>
      </c>
      <c r="D21" t="str">
        <f>IFERROR(FIXED(AVERAGEIF(貨物!$C:$C,$A21,貨物!$F:$F),2),"-")</f>
        <v>-</v>
      </c>
      <c r="E21" t="str">
        <f>IFERROR(FIXED(_xlfn.MAXIFS(貨物!F:F,貨物!C:C,A21),2),"-")</f>
        <v>0.00</v>
      </c>
      <c r="F21" t="str">
        <f>IFERROR(FIXED($E21/_xlfn.XLOOKUP("Passagiere",貨物!$A:$A,貨物!$F:$F),2),"-")</f>
        <v>0.00</v>
      </c>
    </row>
    <row r="22" spans="1:6">
      <c r="A22">
        <v>20</v>
      </c>
      <c r="B22" t="s">
        <v>63</v>
      </c>
      <c r="D22" t="str">
        <f>IFERROR(FIXED(AVERAGEIF(貨物!$C:$C,$A22,貨物!$F:$F),2),"-")</f>
        <v>-</v>
      </c>
      <c r="E22" t="str">
        <f>IFERROR(FIXED(_xlfn.MAXIFS(貨物!F:F,貨物!C:C,A22),2),"-")</f>
        <v>0.00</v>
      </c>
      <c r="F22" t="str">
        <f>IFERROR(FIXED($E22/_xlfn.XLOOKUP("Passagiere",貨物!$A:$A,貨物!$F:$F),2),"-")</f>
        <v>0.00</v>
      </c>
    </row>
    <row r="23" spans="1:6">
      <c r="A23">
        <v>21</v>
      </c>
      <c r="B23" t="s">
        <v>56</v>
      </c>
      <c r="C23" t="s">
        <v>113</v>
      </c>
      <c r="D23" t="str">
        <f>IFERROR(FIXED(AVERAGEIF(貨物!$C:$C,$A23,貨物!$F:$F),2),"-")</f>
        <v>315.00</v>
      </c>
      <c r="E23" t="str">
        <f>IFERROR(FIXED(_xlfn.MAXIFS(貨物!F:F,貨物!C:C,A23),2),"-")</f>
        <v>420.00</v>
      </c>
      <c r="F23" t="str">
        <f>IFERROR(FIXED($E23/_xlfn.XLOOKUP("Passagiere",貨物!$A:$A,貨物!$F:$F),2),"-")</f>
        <v>14.00</v>
      </c>
    </row>
    <row r="24" spans="1:6">
      <c r="A24">
        <v>22</v>
      </c>
      <c r="B24" t="s">
        <v>57</v>
      </c>
      <c r="C24" t="s">
        <v>113</v>
      </c>
      <c r="D24" t="str">
        <f>IFERROR(FIXED(AVERAGEIF(貨物!$C:$C,$A24,貨物!$F:$F),2),"-")</f>
        <v>170.00</v>
      </c>
      <c r="E24" t="str">
        <f>IFERROR(FIXED(_xlfn.MAXIFS(貨物!F:F,貨物!C:C,A24),2),"-")</f>
        <v>323.00</v>
      </c>
      <c r="F24" t="str">
        <f>IFERROR(FIXED($E24/_xlfn.XLOOKUP("Passagiere",貨物!$A:$A,貨物!$F:$F),2),"-")</f>
        <v>10.77</v>
      </c>
    </row>
    <row r="25" spans="1:6">
      <c r="A25">
        <v>23</v>
      </c>
      <c r="B25" t="s">
        <v>58</v>
      </c>
      <c r="C25" t="s">
        <v>113</v>
      </c>
      <c r="D25" t="str">
        <f>IFERROR(FIXED(AVERAGEIF(貨物!$C:$C,$A25,貨物!$F:$F),2),"-")</f>
        <v>78.67</v>
      </c>
      <c r="E25" t="str">
        <f>IFERROR(FIXED(_xlfn.MAXIFS(貨物!F:F,貨物!C:C,A25),2),"-")</f>
        <v>118.00</v>
      </c>
      <c r="F25" t="str">
        <f>IFERROR(FIXED($E25/_xlfn.XLOOKUP("Passagiere",貨物!$A:$A,貨物!$F:$F),2),"-")</f>
        <v>3.93</v>
      </c>
    </row>
    <row r="26" spans="1:6">
      <c r="A26">
        <v>24</v>
      </c>
      <c r="B26" t="s">
        <v>59</v>
      </c>
      <c r="C26" t="s">
        <v>113</v>
      </c>
      <c r="D26" t="str">
        <f>IFERROR(FIXED(AVERAGEIF(貨物!$C:$C,$A26,貨物!$F:$F),2),"-")</f>
        <v>246.75</v>
      </c>
      <c r="E26" t="str">
        <f>IFERROR(FIXED(_xlfn.MAXIFS(貨物!F:F,貨物!C:C,A26),2),"-")</f>
        <v>420.00</v>
      </c>
      <c r="F26" t="str">
        <f>IFERROR(FIXED($E26/_xlfn.XLOOKUP("Passagiere",貨物!$A:$A,貨物!$F:$F),2),"-")</f>
        <v>14.00</v>
      </c>
    </row>
    <row r="27" spans="1:6">
      <c r="A27">
        <v>25</v>
      </c>
      <c r="B27" t="s">
        <v>92</v>
      </c>
      <c r="C27" t="s">
        <v>113</v>
      </c>
      <c r="D27" t="str">
        <f>IFERROR(FIXED(AVERAGEIF(貨物!$C:$C,$A27,貨物!$F:$F),2),"-")</f>
        <v>210.00</v>
      </c>
      <c r="E27" t="str">
        <f>IFERROR(FIXED(_xlfn.MAXIFS(貨物!F:F,貨物!C:C,A27),2),"-")</f>
        <v>420.00</v>
      </c>
      <c r="F27" t="str">
        <f>IFERROR(FIXED($E27/_xlfn.XLOOKUP("Passagiere",貨物!$A:$A,貨物!$F:$F),2),"-")</f>
        <v>14.00</v>
      </c>
    </row>
    <row r="28" spans="1:6">
      <c r="A28">
        <v>26</v>
      </c>
      <c r="B28" t="s">
        <v>382</v>
      </c>
      <c r="D28" t="str">
        <f>IFERROR(FIXED(AVERAGEIF(貨物!$C:$C,$A28,貨物!$F:$F),2),"-")</f>
        <v>-</v>
      </c>
      <c r="E28" t="str">
        <f>IFERROR(FIXED(_xlfn.MAXIFS(貨物!F:F,貨物!C:C,A28),2),"-")</f>
        <v>0.00</v>
      </c>
      <c r="F28" t="str">
        <f>IFERROR(FIXED($E28/_xlfn.XLOOKUP("Passagiere",貨物!$A:$A,貨物!$F:$F),2),"-")</f>
        <v>0.00</v>
      </c>
    </row>
    <row r="29" spans="1:6">
      <c r="A29">
        <v>27</v>
      </c>
      <c r="B29" t="s">
        <v>382</v>
      </c>
      <c r="D29" t="str">
        <f>IFERROR(FIXED(AVERAGEIF(貨物!$C:$C,$A29,貨物!$F:$F),2),"-")</f>
        <v>-</v>
      </c>
      <c r="E29" t="str">
        <f>IFERROR(FIXED(_xlfn.MAXIFS(貨物!F:F,貨物!C:C,A29),2),"-")</f>
        <v>0.00</v>
      </c>
      <c r="F29" t="str">
        <f>IFERROR(FIXED($E29/_xlfn.XLOOKUP("Passagiere",貨物!$A:$A,貨物!$F:$F),2),"-")</f>
        <v>0.00</v>
      </c>
    </row>
    <row r="30" spans="1:6">
      <c r="A30">
        <v>28</v>
      </c>
      <c r="B30" t="s">
        <v>382</v>
      </c>
      <c r="D30" t="str">
        <f>IFERROR(FIXED(AVERAGEIF(貨物!$C:$C,$A30,貨物!$F:$F),2),"-")</f>
        <v>-</v>
      </c>
      <c r="E30" t="str">
        <f>IFERROR(FIXED(_xlfn.MAXIFS(貨物!F:F,貨物!C:C,A30),2),"-")</f>
        <v>0.00</v>
      </c>
      <c r="F30" t="str">
        <f>IFERROR(FIXED($E30/_xlfn.XLOOKUP("Passagiere",貨物!$A:$A,貨物!$F:$F),2),"-")</f>
        <v>0.00</v>
      </c>
    </row>
    <row r="31" spans="1:6">
      <c r="A31">
        <v>29</v>
      </c>
      <c r="B31" t="s">
        <v>382</v>
      </c>
      <c r="D31" t="str">
        <f>IFERROR(FIXED(AVERAGEIF(貨物!$C:$C,$A31,貨物!$F:$F),2),"-")</f>
        <v>-</v>
      </c>
      <c r="E31" t="str">
        <f>IFERROR(FIXED(_xlfn.MAXIFS(貨物!F:F,貨物!C:C,A31),2),"-")</f>
        <v>0.00</v>
      </c>
      <c r="F31" t="str">
        <f>IFERROR(FIXED($E31/_xlfn.XLOOKUP("Passagiere",貨物!$A:$A,貨物!$F:$F),2),"-")</f>
        <v>0.00</v>
      </c>
    </row>
    <row r="32" spans="1:6">
      <c r="A32">
        <v>30</v>
      </c>
      <c r="B32" s="4" t="s">
        <v>64</v>
      </c>
      <c r="D32" t="str">
        <f>IFERROR(FIXED(AVERAGEIF(貨物!$C:$C,$A32,貨物!$F:$F),2),"-")</f>
        <v>-</v>
      </c>
      <c r="E32" t="str">
        <f>IFERROR(FIXED(_xlfn.MAXIFS(貨物!F:F,貨物!C:C,A32),2),"-")</f>
        <v>0.00</v>
      </c>
      <c r="F32" t="str">
        <f>IFERROR(FIXED($E32/_xlfn.XLOOKUP("Passagiere",貨物!$A:$A,貨物!$F:$F),2),"-")</f>
        <v>0.00</v>
      </c>
    </row>
    <row r="33" spans="1:6">
      <c r="A33">
        <v>31</v>
      </c>
      <c r="B33" t="s">
        <v>60</v>
      </c>
      <c r="C33" t="s">
        <v>114</v>
      </c>
      <c r="D33" t="str">
        <f>IFERROR(FIXED(AVERAGEIF(貨物!$C:$C,$A33,貨物!$F:$F),2),"-")</f>
        <v>294.00</v>
      </c>
      <c r="E33" t="str">
        <f>IFERROR(FIXED(_xlfn.MAXIFS(貨物!F:F,貨物!C:C,A33),2),"-")</f>
        <v>420.00</v>
      </c>
      <c r="F33" t="str">
        <f>IFERROR(FIXED($E33/_xlfn.XLOOKUP("Passagiere",貨物!$A:$A,貨物!$F:$F),2),"-")</f>
        <v>14.00</v>
      </c>
    </row>
    <row r="34" spans="1:6">
      <c r="A34">
        <v>32</v>
      </c>
      <c r="B34" t="s">
        <v>61</v>
      </c>
      <c r="C34" t="s">
        <v>114</v>
      </c>
      <c r="D34" t="str">
        <f>IFERROR(FIXED(AVERAGEIF(貨物!$C:$C,$A34,貨物!$F:$F),2),"-")</f>
        <v>-</v>
      </c>
      <c r="E34" t="str">
        <f>IFERROR(FIXED(_xlfn.MAXIFS(貨物!F:F,貨物!C:C,A34),2),"-")</f>
        <v>0.00</v>
      </c>
      <c r="F34" t="str">
        <f>IFERROR(FIXED($E34/_xlfn.XLOOKUP("Passagiere",貨物!$A:$A,貨物!$F:$F),2),"-")</f>
        <v>0.00</v>
      </c>
    </row>
    <row r="35" spans="1:6">
      <c r="A35">
        <v>33</v>
      </c>
      <c r="B35" t="s">
        <v>382</v>
      </c>
      <c r="D35" t="str">
        <f>IFERROR(FIXED(AVERAGEIF(貨物!$C:$C,$A35,貨物!$F:$F),2),"-")</f>
        <v>-</v>
      </c>
      <c r="E35" t="str">
        <f>IFERROR(FIXED(_xlfn.MAXIFS(貨物!F:F,貨物!C:C,A35),2),"-")</f>
        <v>0.00</v>
      </c>
      <c r="F35" t="str">
        <f>IFERROR(FIXED($E35/_xlfn.XLOOKUP("Passagiere",貨物!$A:$A,貨物!$F:$F),2),"-")</f>
        <v>0.00</v>
      </c>
    </row>
    <row r="36" spans="1:6">
      <c r="A36">
        <v>34</v>
      </c>
      <c r="B36" t="s">
        <v>382</v>
      </c>
      <c r="D36" t="str">
        <f>IFERROR(FIXED(AVERAGEIF(貨物!$C:$C,$A36,貨物!$F:$F),2),"-")</f>
        <v>-</v>
      </c>
      <c r="E36" t="str">
        <f>IFERROR(FIXED(_xlfn.MAXIFS(貨物!F:F,貨物!C:C,A36),2),"-")</f>
        <v>0.00</v>
      </c>
      <c r="F36" t="str">
        <f>IFERROR(FIXED($E36/_xlfn.XLOOKUP("Passagiere",貨物!$A:$A,貨物!$F:$F),2),"-")</f>
        <v>0.00</v>
      </c>
    </row>
    <row r="37" spans="1:6">
      <c r="A37">
        <v>35</v>
      </c>
      <c r="B37" t="s">
        <v>382</v>
      </c>
      <c r="D37" t="str">
        <f>IFERROR(FIXED(AVERAGEIF(貨物!$C:$C,$A37,貨物!$F:$F),2),"-")</f>
        <v>-</v>
      </c>
      <c r="E37" t="str">
        <f>IFERROR(FIXED(_xlfn.MAXIFS(貨物!F:F,貨物!C:C,A37),2),"-")</f>
        <v>0.00</v>
      </c>
      <c r="F37" t="str">
        <f>IFERROR(FIXED($E37/_xlfn.XLOOKUP("Passagiere",貨物!$A:$A,貨物!$F:$F),2),"-")</f>
        <v>0.00</v>
      </c>
    </row>
    <row r="38" spans="1:6">
      <c r="A38">
        <v>36</v>
      </c>
      <c r="B38" t="s">
        <v>382</v>
      </c>
      <c r="D38" t="str">
        <f>IFERROR(FIXED(AVERAGEIF(貨物!$C:$C,$A38,貨物!$F:$F),2),"-")</f>
        <v>-</v>
      </c>
      <c r="E38" t="str">
        <f>IFERROR(FIXED(_xlfn.MAXIFS(貨物!F:F,貨物!C:C,A38),2),"-")</f>
        <v>0.00</v>
      </c>
      <c r="F38" t="str">
        <f>IFERROR(FIXED($E38/_xlfn.XLOOKUP("Passagiere",貨物!$A:$A,貨物!$F:$F),2),"-")</f>
        <v>0.00</v>
      </c>
    </row>
    <row r="39" spans="1:6">
      <c r="A39">
        <v>37</v>
      </c>
      <c r="B39" t="s">
        <v>382</v>
      </c>
      <c r="D39" t="str">
        <f>IFERROR(FIXED(AVERAGEIF(貨物!$C:$C,$A39,貨物!$F:$F),2),"-")</f>
        <v>-</v>
      </c>
      <c r="E39" t="str">
        <f>IFERROR(FIXED(_xlfn.MAXIFS(貨物!F:F,貨物!C:C,A39),2),"-")</f>
        <v>0.00</v>
      </c>
      <c r="F39" t="str">
        <f>IFERROR(FIXED($E39/_xlfn.XLOOKUP("Passagiere",貨物!$A:$A,貨物!$F:$F),2),"-")</f>
        <v>0.00</v>
      </c>
    </row>
    <row r="40" spans="1:6">
      <c r="A40">
        <v>38</v>
      </c>
      <c r="B40" t="s">
        <v>382</v>
      </c>
      <c r="D40" t="str">
        <f>IFERROR(FIXED(AVERAGEIF(貨物!$C:$C,$A40,貨物!$F:$F),2),"-")</f>
        <v>-</v>
      </c>
      <c r="E40" t="str">
        <f>IFERROR(FIXED(_xlfn.MAXIFS(貨物!F:F,貨物!C:C,A40),2),"-")</f>
        <v>0.00</v>
      </c>
      <c r="F40" t="str">
        <f>IFERROR(FIXED($E40/_xlfn.XLOOKUP("Passagiere",貨物!$A:$A,貨物!$F:$F),2),"-")</f>
        <v>0.00</v>
      </c>
    </row>
    <row r="41" spans="1:6">
      <c r="A41">
        <v>39</v>
      </c>
      <c r="B41" t="s">
        <v>382</v>
      </c>
      <c r="D41" t="str">
        <f>IFERROR(FIXED(AVERAGEIF(貨物!$C:$C,$A41,貨物!$F:$F),2),"-")</f>
        <v>-</v>
      </c>
      <c r="E41" t="str">
        <f>IFERROR(FIXED(_xlfn.MAXIFS(貨物!F:F,貨物!C:C,A41),2),"-")</f>
        <v>0.00</v>
      </c>
      <c r="F41" t="str">
        <f>IFERROR(FIXED($E41/_xlfn.XLOOKUP("Passagiere",貨物!$A:$A,貨物!$F:$F),2),"-")</f>
        <v>0.00</v>
      </c>
    </row>
  </sheetData>
  <phoneticPr fontId="1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D08CC-8354-4824-9A53-A2439D1F5304}">
  <dimension ref="A1:C225"/>
  <sheetViews>
    <sheetView workbookViewId="0">
      <pane ySplit="1" topLeftCell="A2" activePane="bottomLeft" state="frozen"/>
      <selection pane="bottomLeft"/>
    </sheetView>
  </sheetViews>
  <sheetFormatPr defaultRowHeight="18.75"/>
  <cols>
    <col min="1" max="1" width="7.125" bestFit="1" customWidth="1"/>
    <col min="2" max="2" width="13" style="221" bestFit="1" customWidth="1"/>
    <col min="3" max="3" width="3.375" style="6" bestFit="1" customWidth="1"/>
  </cols>
  <sheetData>
    <row r="1" spans="1:3">
      <c r="A1" t="s">
        <v>119</v>
      </c>
      <c r="B1" s="221" t="s">
        <v>120</v>
      </c>
      <c r="C1" s="6" t="s">
        <v>122</v>
      </c>
    </row>
    <row r="2" spans="1:3">
      <c r="A2">
        <v>0</v>
      </c>
      <c r="B2" s="221" t="s">
        <v>121</v>
      </c>
      <c r="C2" s="7"/>
    </row>
    <row r="3" spans="1:3">
      <c r="A3">
        <v>1</v>
      </c>
      <c r="B3" s="221" t="s">
        <v>123</v>
      </c>
      <c r="C3" s="8"/>
    </row>
    <row r="4" spans="1:3">
      <c r="A4">
        <v>2</v>
      </c>
      <c r="B4" s="221" t="s">
        <v>124</v>
      </c>
      <c r="C4" s="9"/>
    </row>
    <row r="5" spans="1:3">
      <c r="A5">
        <v>3</v>
      </c>
      <c r="B5" s="221" t="s">
        <v>125</v>
      </c>
      <c r="C5" s="10"/>
    </row>
    <row r="6" spans="1:3">
      <c r="A6">
        <v>4</v>
      </c>
      <c r="B6" s="221" t="s">
        <v>126</v>
      </c>
      <c r="C6" s="11"/>
    </row>
    <row r="7" spans="1:3">
      <c r="A7">
        <v>5</v>
      </c>
      <c r="B7" s="221" t="s">
        <v>127</v>
      </c>
      <c r="C7" s="12"/>
    </row>
    <row r="8" spans="1:3">
      <c r="A8">
        <v>6</v>
      </c>
      <c r="B8" s="221" t="s">
        <v>128</v>
      </c>
      <c r="C8" s="13"/>
    </row>
    <row r="9" spans="1:3">
      <c r="A9">
        <v>7</v>
      </c>
      <c r="B9" s="221" t="s">
        <v>129</v>
      </c>
      <c r="C9" s="14"/>
    </row>
    <row r="10" spans="1:3">
      <c r="A10">
        <v>8</v>
      </c>
      <c r="B10" s="221" t="s">
        <v>130</v>
      </c>
      <c r="C10" s="15"/>
    </row>
    <row r="11" spans="1:3">
      <c r="A11">
        <v>9</v>
      </c>
      <c r="B11" s="221" t="s">
        <v>131</v>
      </c>
      <c r="C11" s="16"/>
    </row>
    <row r="12" spans="1:3">
      <c r="A12">
        <v>10</v>
      </c>
      <c r="B12" s="221" t="s">
        <v>132</v>
      </c>
      <c r="C12" s="17"/>
    </row>
    <row r="13" spans="1:3">
      <c r="A13">
        <v>11</v>
      </c>
      <c r="B13" s="221" t="s">
        <v>133</v>
      </c>
      <c r="C13" s="18"/>
    </row>
    <row r="14" spans="1:3">
      <c r="A14">
        <v>12</v>
      </c>
      <c r="B14" s="221" t="s">
        <v>134</v>
      </c>
      <c r="C14" s="19"/>
    </row>
    <row r="15" spans="1:3">
      <c r="A15">
        <v>13</v>
      </c>
      <c r="B15" s="221" t="s">
        <v>135</v>
      </c>
      <c r="C15" s="20"/>
    </row>
    <row r="16" spans="1:3">
      <c r="A16">
        <v>14</v>
      </c>
      <c r="B16" s="221" t="s">
        <v>136</v>
      </c>
      <c r="C16" s="21"/>
    </row>
    <row r="17" spans="1:3">
      <c r="A17">
        <v>15</v>
      </c>
      <c r="B17" s="221" t="s">
        <v>137</v>
      </c>
      <c r="C17" s="22"/>
    </row>
    <row r="18" spans="1:3">
      <c r="A18">
        <v>16</v>
      </c>
      <c r="B18" s="221" t="s">
        <v>138</v>
      </c>
      <c r="C18" s="23"/>
    </row>
    <row r="19" spans="1:3">
      <c r="A19">
        <v>17</v>
      </c>
      <c r="B19" s="221" t="s">
        <v>139</v>
      </c>
      <c r="C19" s="24"/>
    </row>
    <row r="20" spans="1:3">
      <c r="A20">
        <v>18</v>
      </c>
      <c r="B20" s="221" t="s">
        <v>140</v>
      </c>
      <c r="C20" s="25"/>
    </row>
    <row r="21" spans="1:3">
      <c r="A21">
        <v>19</v>
      </c>
      <c r="B21" s="221" t="s">
        <v>141</v>
      </c>
      <c r="C21" s="26"/>
    </row>
    <row r="22" spans="1:3">
      <c r="A22">
        <v>20</v>
      </c>
      <c r="B22" s="221" t="s">
        <v>142</v>
      </c>
      <c r="C22" s="27"/>
    </row>
    <row r="23" spans="1:3">
      <c r="A23">
        <v>21</v>
      </c>
      <c r="B23" s="221" t="s">
        <v>143</v>
      </c>
      <c r="C23" s="28"/>
    </row>
    <row r="24" spans="1:3">
      <c r="A24">
        <v>22</v>
      </c>
      <c r="B24" s="221" t="s">
        <v>144</v>
      </c>
      <c r="C24" s="29"/>
    </row>
    <row r="25" spans="1:3">
      <c r="A25">
        <v>23</v>
      </c>
      <c r="B25" s="221" t="s">
        <v>145</v>
      </c>
      <c r="C25" s="30"/>
    </row>
    <row r="26" spans="1:3">
      <c r="A26">
        <v>24</v>
      </c>
      <c r="B26" s="221" t="s">
        <v>146</v>
      </c>
      <c r="C26" s="31"/>
    </row>
    <row r="27" spans="1:3">
      <c r="A27">
        <v>25</v>
      </c>
      <c r="B27" s="221" t="s">
        <v>147</v>
      </c>
      <c r="C27" s="32"/>
    </row>
    <row r="28" spans="1:3">
      <c r="A28">
        <v>26</v>
      </c>
      <c r="B28" s="221" t="s">
        <v>148</v>
      </c>
      <c r="C28" s="33"/>
    </row>
    <row r="29" spans="1:3">
      <c r="A29">
        <v>27</v>
      </c>
      <c r="B29" s="221" t="s">
        <v>149</v>
      </c>
      <c r="C29" s="34"/>
    </row>
    <row r="30" spans="1:3">
      <c r="A30">
        <v>28</v>
      </c>
      <c r="B30" s="221" t="s">
        <v>150</v>
      </c>
      <c r="C30" s="35"/>
    </row>
    <row r="31" spans="1:3">
      <c r="A31">
        <v>29</v>
      </c>
      <c r="B31" s="221" t="s">
        <v>151</v>
      </c>
      <c r="C31" s="36"/>
    </row>
    <row r="32" spans="1:3">
      <c r="A32">
        <v>30</v>
      </c>
      <c r="B32" s="221" t="s">
        <v>152</v>
      </c>
      <c r="C32" s="37"/>
    </row>
    <row r="33" spans="1:3">
      <c r="A33">
        <v>31</v>
      </c>
      <c r="B33" s="221" t="s">
        <v>153</v>
      </c>
      <c r="C33" s="38"/>
    </row>
    <row r="34" spans="1:3">
      <c r="A34">
        <v>32</v>
      </c>
      <c r="B34" s="221" t="s">
        <v>154</v>
      </c>
      <c r="C34" s="39"/>
    </row>
    <row r="35" spans="1:3">
      <c r="A35">
        <v>33</v>
      </c>
      <c r="B35" s="221" t="s">
        <v>155</v>
      </c>
      <c r="C35" s="40"/>
    </row>
    <row r="36" spans="1:3">
      <c r="A36">
        <v>34</v>
      </c>
      <c r="B36" s="221" t="s">
        <v>156</v>
      </c>
      <c r="C36" s="41"/>
    </row>
    <row r="37" spans="1:3">
      <c r="A37">
        <v>35</v>
      </c>
      <c r="B37" s="221" t="s">
        <v>157</v>
      </c>
      <c r="C37" s="42"/>
    </row>
    <row r="38" spans="1:3">
      <c r="A38">
        <v>36</v>
      </c>
      <c r="B38" s="221" t="s">
        <v>158</v>
      </c>
      <c r="C38" s="43"/>
    </row>
    <row r="39" spans="1:3">
      <c r="A39">
        <v>37</v>
      </c>
      <c r="B39" s="221" t="s">
        <v>159</v>
      </c>
      <c r="C39" s="44"/>
    </row>
    <row r="40" spans="1:3">
      <c r="A40">
        <v>38</v>
      </c>
      <c r="B40" s="221" t="s">
        <v>160</v>
      </c>
      <c r="C40" s="45"/>
    </row>
    <row r="41" spans="1:3">
      <c r="A41">
        <v>39</v>
      </c>
      <c r="B41" s="221" t="s">
        <v>161</v>
      </c>
      <c r="C41" s="46"/>
    </row>
    <row r="42" spans="1:3">
      <c r="A42">
        <v>40</v>
      </c>
      <c r="B42" s="221" t="s">
        <v>162</v>
      </c>
      <c r="C42" s="47"/>
    </row>
    <row r="43" spans="1:3">
      <c r="A43">
        <v>41</v>
      </c>
      <c r="B43" s="221" t="s">
        <v>163</v>
      </c>
      <c r="C43" s="48"/>
    </row>
    <row r="44" spans="1:3">
      <c r="A44">
        <v>42</v>
      </c>
      <c r="B44" s="221" t="s">
        <v>164</v>
      </c>
      <c r="C44" s="49"/>
    </row>
    <row r="45" spans="1:3">
      <c r="A45">
        <v>43</v>
      </c>
      <c r="B45" s="221" t="s">
        <v>165</v>
      </c>
      <c r="C45" s="50"/>
    </row>
    <row r="46" spans="1:3">
      <c r="A46">
        <v>44</v>
      </c>
      <c r="B46" s="221" t="s">
        <v>166</v>
      </c>
      <c r="C46" s="51"/>
    </row>
    <row r="47" spans="1:3">
      <c r="A47">
        <v>45</v>
      </c>
      <c r="B47" s="221" t="s">
        <v>167</v>
      </c>
      <c r="C47" s="52"/>
    </row>
    <row r="48" spans="1:3">
      <c r="A48">
        <v>46</v>
      </c>
      <c r="B48" s="221" t="s">
        <v>168</v>
      </c>
      <c r="C48" s="53"/>
    </row>
    <row r="49" spans="1:3">
      <c r="A49">
        <v>47</v>
      </c>
      <c r="B49" s="221" t="s">
        <v>169</v>
      </c>
      <c r="C49" s="54"/>
    </row>
    <row r="50" spans="1:3">
      <c r="A50">
        <v>48</v>
      </c>
      <c r="B50" s="221" t="s">
        <v>170</v>
      </c>
      <c r="C50" s="55"/>
    </row>
    <row r="51" spans="1:3">
      <c r="A51">
        <v>49</v>
      </c>
      <c r="B51" s="221" t="s">
        <v>171</v>
      </c>
      <c r="C51" s="56"/>
    </row>
    <row r="52" spans="1:3">
      <c r="A52">
        <v>50</v>
      </c>
      <c r="B52" s="221" t="s">
        <v>172</v>
      </c>
      <c r="C52" s="57"/>
    </row>
    <row r="53" spans="1:3">
      <c r="A53">
        <v>51</v>
      </c>
      <c r="B53" s="221" t="s">
        <v>173</v>
      </c>
      <c r="C53" s="58"/>
    </row>
    <row r="54" spans="1:3">
      <c r="A54">
        <v>52</v>
      </c>
      <c r="B54" s="221" t="s">
        <v>174</v>
      </c>
      <c r="C54" s="59"/>
    </row>
    <row r="55" spans="1:3">
      <c r="A55">
        <v>53</v>
      </c>
      <c r="B55" s="221" t="s">
        <v>175</v>
      </c>
      <c r="C55" s="60"/>
    </row>
    <row r="56" spans="1:3">
      <c r="A56">
        <v>54</v>
      </c>
      <c r="B56" s="221" t="s">
        <v>176</v>
      </c>
      <c r="C56" s="61"/>
    </row>
    <row r="57" spans="1:3">
      <c r="A57">
        <v>55</v>
      </c>
      <c r="B57" s="221" t="s">
        <v>177</v>
      </c>
      <c r="C57" s="62"/>
    </row>
    <row r="58" spans="1:3">
      <c r="A58">
        <v>56</v>
      </c>
      <c r="B58" s="221" t="s">
        <v>178</v>
      </c>
      <c r="C58" s="63"/>
    </row>
    <row r="59" spans="1:3">
      <c r="A59">
        <v>57</v>
      </c>
      <c r="B59" s="221" t="s">
        <v>179</v>
      </c>
      <c r="C59" s="64"/>
    </row>
    <row r="60" spans="1:3">
      <c r="A60">
        <v>58</v>
      </c>
      <c r="B60" s="221" t="s">
        <v>180</v>
      </c>
      <c r="C60" s="65"/>
    </row>
    <row r="61" spans="1:3">
      <c r="A61">
        <v>59</v>
      </c>
      <c r="B61" s="221" t="s">
        <v>181</v>
      </c>
      <c r="C61" s="66"/>
    </row>
    <row r="62" spans="1:3">
      <c r="A62">
        <v>60</v>
      </c>
      <c r="B62" s="221" t="s">
        <v>182</v>
      </c>
      <c r="C62" s="67"/>
    </row>
    <row r="63" spans="1:3">
      <c r="A63">
        <v>61</v>
      </c>
      <c r="B63" s="221" t="s">
        <v>183</v>
      </c>
      <c r="C63" s="68"/>
    </row>
    <row r="64" spans="1:3">
      <c r="A64">
        <v>62</v>
      </c>
      <c r="B64" s="221" t="s">
        <v>184</v>
      </c>
      <c r="C64" s="69"/>
    </row>
    <row r="65" spans="1:3">
      <c r="A65">
        <v>63</v>
      </c>
      <c r="B65" s="221" t="s">
        <v>185</v>
      </c>
      <c r="C65" s="70"/>
    </row>
    <row r="66" spans="1:3">
      <c r="A66">
        <v>64</v>
      </c>
      <c r="B66" s="221" t="s">
        <v>189</v>
      </c>
      <c r="C66" s="71"/>
    </row>
    <row r="67" spans="1:3">
      <c r="A67">
        <v>65</v>
      </c>
      <c r="B67" s="221" t="s">
        <v>190</v>
      </c>
      <c r="C67" s="72"/>
    </row>
    <row r="68" spans="1:3">
      <c r="A68">
        <v>66</v>
      </c>
      <c r="B68" s="221" t="s">
        <v>191</v>
      </c>
      <c r="C68" s="73"/>
    </row>
    <row r="69" spans="1:3">
      <c r="A69">
        <v>67</v>
      </c>
      <c r="B69" s="221" t="s">
        <v>192</v>
      </c>
      <c r="C69" s="74"/>
    </row>
    <row r="70" spans="1:3">
      <c r="A70">
        <v>68</v>
      </c>
      <c r="B70" s="221" t="s">
        <v>193</v>
      </c>
      <c r="C70" s="75"/>
    </row>
    <row r="71" spans="1:3">
      <c r="A71">
        <v>69</v>
      </c>
      <c r="B71" s="221" t="s">
        <v>194</v>
      </c>
      <c r="C71" s="76"/>
    </row>
    <row r="72" spans="1:3">
      <c r="A72">
        <v>70</v>
      </c>
      <c r="B72" s="221" t="s">
        <v>195</v>
      </c>
      <c r="C72" s="77"/>
    </row>
    <row r="73" spans="1:3">
      <c r="A73">
        <v>71</v>
      </c>
      <c r="B73" s="221" t="s">
        <v>196</v>
      </c>
      <c r="C73" s="78"/>
    </row>
    <row r="74" spans="1:3">
      <c r="A74">
        <v>72</v>
      </c>
      <c r="B74" s="221" t="s">
        <v>197</v>
      </c>
      <c r="C74" s="79"/>
    </row>
    <row r="75" spans="1:3">
      <c r="A75">
        <v>73</v>
      </c>
      <c r="B75" s="221" t="s">
        <v>198</v>
      </c>
      <c r="C75" s="80"/>
    </row>
    <row r="76" spans="1:3">
      <c r="A76">
        <v>74</v>
      </c>
      <c r="B76" s="221" t="s">
        <v>199</v>
      </c>
      <c r="C76" s="81"/>
    </row>
    <row r="77" spans="1:3">
      <c r="A77">
        <v>75</v>
      </c>
      <c r="B77" s="221" t="s">
        <v>200</v>
      </c>
      <c r="C77" s="82"/>
    </row>
    <row r="78" spans="1:3">
      <c r="A78">
        <v>76</v>
      </c>
      <c r="B78" s="221" t="s">
        <v>201</v>
      </c>
      <c r="C78" s="83"/>
    </row>
    <row r="79" spans="1:3">
      <c r="A79">
        <v>77</v>
      </c>
      <c r="B79" s="221" t="s">
        <v>202</v>
      </c>
      <c r="C79" s="84"/>
    </row>
    <row r="80" spans="1:3">
      <c r="A80">
        <v>78</v>
      </c>
      <c r="B80" s="221" t="s">
        <v>203</v>
      </c>
      <c r="C80" s="85"/>
    </row>
    <row r="81" spans="1:3">
      <c r="A81">
        <v>79</v>
      </c>
      <c r="B81" s="221" t="s">
        <v>204</v>
      </c>
      <c r="C81" s="86"/>
    </row>
    <row r="82" spans="1:3">
      <c r="A82">
        <v>80</v>
      </c>
      <c r="B82" s="221" t="s">
        <v>205</v>
      </c>
      <c r="C82" s="87"/>
    </row>
    <row r="83" spans="1:3">
      <c r="A83">
        <v>81</v>
      </c>
      <c r="B83" s="221" t="s">
        <v>206</v>
      </c>
      <c r="C83" s="88"/>
    </row>
    <row r="84" spans="1:3">
      <c r="A84">
        <v>82</v>
      </c>
      <c r="B84" s="221" t="s">
        <v>207</v>
      </c>
      <c r="C84" s="89"/>
    </row>
    <row r="85" spans="1:3">
      <c r="A85">
        <v>83</v>
      </c>
      <c r="B85" s="221" t="s">
        <v>208</v>
      </c>
      <c r="C85" s="90"/>
    </row>
    <row r="86" spans="1:3">
      <c r="A86">
        <v>84</v>
      </c>
      <c r="B86" s="221" t="s">
        <v>209</v>
      </c>
      <c r="C86" s="91"/>
    </row>
    <row r="87" spans="1:3">
      <c r="A87">
        <v>85</v>
      </c>
      <c r="B87" s="221" t="s">
        <v>210</v>
      </c>
      <c r="C87" s="92"/>
    </row>
    <row r="88" spans="1:3">
      <c r="A88">
        <v>86</v>
      </c>
      <c r="B88" s="221" t="s">
        <v>211</v>
      </c>
      <c r="C88" s="93"/>
    </row>
    <row r="89" spans="1:3">
      <c r="A89">
        <v>87</v>
      </c>
      <c r="B89" s="221" t="s">
        <v>212</v>
      </c>
      <c r="C89" s="94"/>
    </row>
    <row r="90" spans="1:3">
      <c r="A90">
        <v>88</v>
      </c>
      <c r="B90" s="221" t="s">
        <v>213</v>
      </c>
      <c r="C90" s="95"/>
    </row>
    <row r="91" spans="1:3">
      <c r="A91">
        <v>89</v>
      </c>
      <c r="B91" s="221" t="s">
        <v>214</v>
      </c>
      <c r="C91" s="96"/>
    </row>
    <row r="92" spans="1:3">
      <c r="A92">
        <v>90</v>
      </c>
      <c r="B92" s="221" t="s">
        <v>215</v>
      </c>
      <c r="C92" s="97"/>
    </row>
    <row r="93" spans="1:3">
      <c r="A93">
        <v>91</v>
      </c>
      <c r="B93" s="221" t="s">
        <v>216</v>
      </c>
      <c r="C93" s="98"/>
    </row>
    <row r="94" spans="1:3">
      <c r="A94">
        <v>92</v>
      </c>
      <c r="B94" s="221" t="s">
        <v>217</v>
      </c>
      <c r="C94" s="99"/>
    </row>
    <row r="95" spans="1:3">
      <c r="A95">
        <v>93</v>
      </c>
      <c r="B95" s="221" t="s">
        <v>218</v>
      </c>
      <c r="C95" s="100"/>
    </row>
    <row r="96" spans="1:3">
      <c r="A96">
        <v>94</v>
      </c>
      <c r="B96" s="221" t="s">
        <v>219</v>
      </c>
      <c r="C96" s="101"/>
    </row>
    <row r="97" spans="1:3">
      <c r="A97">
        <v>95</v>
      </c>
      <c r="B97" s="221" t="s">
        <v>220</v>
      </c>
      <c r="C97" s="102"/>
    </row>
    <row r="98" spans="1:3">
      <c r="A98">
        <v>96</v>
      </c>
      <c r="B98" s="221" t="s">
        <v>221</v>
      </c>
      <c r="C98" s="103"/>
    </row>
    <row r="99" spans="1:3">
      <c r="A99">
        <v>97</v>
      </c>
      <c r="B99" s="221" t="s">
        <v>222</v>
      </c>
      <c r="C99" s="104"/>
    </row>
    <row r="100" spans="1:3">
      <c r="A100">
        <v>98</v>
      </c>
      <c r="B100" s="221" t="s">
        <v>223</v>
      </c>
      <c r="C100" s="105"/>
    </row>
    <row r="101" spans="1:3">
      <c r="A101">
        <v>99</v>
      </c>
      <c r="B101" s="221" t="s">
        <v>224</v>
      </c>
      <c r="C101" s="106"/>
    </row>
    <row r="102" spans="1:3">
      <c r="A102">
        <v>100</v>
      </c>
      <c r="B102" s="221" t="s">
        <v>225</v>
      </c>
      <c r="C102" s="107"/>
    </row>
    <row r="103" spans="1:3">
      <c r="A103">
        <v>101</v>
      </c>
      <c r="B103" s="221" t="s">
        <v>226</v>
      </c>
      <c r="C103" s="108"/>
    </row>
    <row r="104" spans="1:3">
      <c r="A104">
        <v>102</v>
      </c>
      <c r="B104" s="221" t="s">
        <v>227</v>
      </c>
      <c r="C104" s="109"/>
    </row>
    <row r="105" spans="1:3">
      <c r="A105">
        <v>103</v>
      </c>
      <c r="B105" s="221" t="s">
        <v>228</v>
      </c>
      <c r="C105" s="110"/>
    </row>
    <row r="106" spans="1:3">
      <c r="A106">
        <v>104</v>
      </c>
      <c r="B106" s="221" t="s">
        <v>229</v>
      </c>
      <c r="C106" s="111"/>
    </row>
    <row r="107" spans="1:3">
      <c r="A107">
        <v>105</v>
      </c>
      <c r="B107" s="221" t="s">
        <v>230</v>
      </c>
      <c r="C107" s="112"/>
    </row>
    <row r="108" spans="1:3">
      <c r="A108">
        <v>106</v>
      </c>
      <c r="B108" s="221" t="s">
        <v>231</v>
      </c>
      <c r="C108" s="113"/>
    </row>
    <row r="109" spans="1:3">
      <c r="A109">
        <v>107</v>
      </c>
      <c r="B109" s="221" t="s">
        <v>232</v>
      </c>
      <c r="C109" s="114"/>
    </row>
    <row r="110" spans="1:3">
      <c r="A110">
        <v>108</v>
      </c>
      <c r="B110" s="221" t="s">
        <v>233</v>
      </c>
      <c r="C110" s="115"/>
    </row>
    <row r="111" spans="1:3">
      <c r="A111">
        <v>109</v>
      </c>
      <c r="B111" s="221" t="s">
        <v>234</v>
      </c>
      <c r="C111" s="116"/>
    </row>
    <row r="112" spans="1:3">
      <c r="A112">
        <v>110</v>
      </c>
      <c r="B112" s="221" t="s">
        <v>235</v>
      </c>
      <c r="C112" s="117"/>
    </row>
    <row r="113" spans="1:3">
      <c r="A113">
        <v>111</v>
      </c>
      <c r="B113" s="221" t="s">
        <v>236</v>
      </c>
      <c r="C113" s="118"/>
    </row>
    <row r="114" spans="1:3">
      <c r="A114">
        <v>112</v>
      </c>
      <c r="B114" s="221" t="s">
        <v>237</v>
      </c>
      <c r="C114" s="119"/>
    </row>
    <row r="115" spans="1:3">
      <c r="A115">
        <v>113</v>
      </c>
      <c r="B115" s="221" t="s">
        <v>238</v>
      </c>
      <c r="C115" s="120"/>
    </row>
    <row r="116" spans="1:3">
      <c r="A116">
        <v>114</v>
      </c>
      <c r="B116" s="221" t="s">
        <v>239</v>
      </c>
      <c r="C116" s="121"/>
    </row>
    <row r="117" spans="1:3">
      <c r="A117">
        <v>115</v>
      </c>
      <c r="B117" s="221" t="s">
        <v>240</v>
      </c>
      <c r="C117" s="122"/>
    </row>
    <row r="118" spans="1:3">
      <c r="A118">
        <v>116</v>
      </c>
      <c r="B118" s="221" t="s">
        <v>241</v>
      </c>
      <c r="C118" s="123"/>
    </row>
    <row r="119" spans="1:3">
      <c r="A119">
        <v>117</v>
      </c>
      <c r="B119" s="221" t="s">
        <v>242</v>
      </c>
      <c r="C119" s="124"/>
    </row>
    <row r="120" spans="1:3">
      <c r="A120">
        <v>118</v>
      </c>
      <c r="B120" s="221" t="s">
        <v>243</v>
      </c>
      <c r="C120" s="125"/>
    </row>
    <row r="121" spans="1:3">
      <c r="A121">
        <v>119</v>
      </c>
      <c r="B121" s="221" t="s">
        <v>244</v>
      </c>
      <c r="C121" s="126"/>
    </row>
    <row r="122" spans="1:3">
      <c r="A122">
        <v>120</v>
      </c>
      <c r="B122" s="221" t="s">
        <v>245</v>
      </c>
      <c r="C122" s="127"/>
    </row>
    <row r="123" spans="1:3">
      <c r="A123">
        <v>121</v>
      </c>
      <c r="B123" s="221" t="s">
        <v>246</v>
      </c>
      <c r="C123" s="128"/>
    </row>
    <row r="124" spans="1:3">
      <c r="A124">
        <v>122</v>
      </c>
      <c r="B124" s="221" t="s">
        <v>247</v>
      </c>
      <c r="C124" s="129"/>
    </row>
    <row r="125" spans="1:3">
      <c r="A125">
        <v>123</v>
      </c>
      <c r="B125" s="221" t="s">
        <v>248</v>
      </c>
      <c r="C125" s="130"/>
    </row>
    <row r="126" spans="1:3">
      <c r="A126">
        <v>124</v>
      </c>
      <c r="B126" s="221" t="s">
        <v>249</v>
      </c>
      <c r="C126" s="131"/>
    </row>
    <row r="127" spans="1:3">
      <c r="A127">
        <v>125</v>
      </c>
      <c r="B127" s="221" t="s">
        <v>250</v>
      </c>
      <c r="C127" s="132"/>
    </row>
    <row r="128" spans="1:3">
      <c r="A128">
        <v>126</v>
      </c>
      <c r="B128" s="221" t="s">
        <v>251</v>
      </c>
      <c r="C128" s="133"/>
    </row>
    <row r="129" spans="1:3">
      <c r="A129">
        <v>127</v>
      </c>
      <c r="B129" s="221" t="s">
        <v>252</v>
      </c>
      <c r="C129" s="134"/>
    </row>
    <row r="130" spans="1:3">
      <c r="A130">
        <v>128</v>
      </c>
      <c r="B130" s="221" t="s">
        <v>253</v>
      </c>
      <c r="C130" s="135"/>
    </row>
    <row r="131" spans="1:3">
      <c r="A131">
        <v>129</v>
      </c>
      <c r="B131" s="221" t="s">
        <v>254</v>
      </c>
      <c r="C131" s="136"/>
    </row>
    <row r="132" spans="1:3">
      <c r="A132">
        <v>130</v>
      </c>
      <c r="B132" s="221" t="s">
        <v>255</v>
      </c>
      <c r="C132" s="137"/>
    </row>
    <row r="133" spans="1:3">
      <c r="A133">
        <v>131</v>
      </c>
      <c r="B133" s="221" t="s">
        <v>256</v>
      </c>
      <c r="C133" s="138"/>
    </row>
    <row r="134" spans="1:3">
      <c r="A134">
        <v>132</v>
      </c>
      <c r="B134" s="221" t="s">
        <v>257</v>
      </c>
      <c r="C134" s="139"/>
    </row>
    <row r="135" spans="1:3">
      <c r="A135">
        <v>133</v>
      </c>
      <c r="B135" s="221" t="s">
        <v>258</v>
      </c>
      <c r="C135" s="140"/>
    </row>
    <row r="136" spans="1:3">
      <c r="A136">
        <v>134</v>
      </c>
      <c r="B136" s="221" t="s">
        <v>259</v>
      </c>
      <c r="C136" s="141"/>
    </row>
    <row r="137" spans="1:3">
      <c r="A137">
        <v>135</v>
      </c>
      <c r="B137" s="221" t="s">
        <v>260</v>
      </c>
      <c r="C137" s="142"/>
    </row>
    <row r="138" spans="1:3">
      <c r="A138">
        <v>136</v>
      </c>
      <c r="B138" s="221" t="s">
        <v>261</v>
      </c>
      <c r="C138" s="143"/>
    </row>
    <row r="139" spans="1:3">
      <c r="A139">
        <v>137</v>
      </c>
      <c r="B139" s="221" t="s">
        <v>262</v>
      </c>
      <c r="C139" s="144"/>
    </row>
    <row r="140" spans="1:3">
      <c r="A140">
        <v>138</v>
      </c>
      <c r="B140" s="221" t="s">
        <v>263</v>
      </c>
      <c r="C140" s="145"/>
    </row>
    <row r="141" spans="1:3">
      <c r="A141">
        <v>139</v>
      </c>
      <c r="B141" s="221" t="s">
        <v>264</v>
      </c>
      <c r="C141" s="146"/>
    </row>
    <row r="142" spans="1:3">
      <c r="A142">
        <v>140</v>
      </c>
      <c r="B142" s="221" t="s">
        <v>265</v>
      </c>
      <c r="C142" s="147"/>
    </row>
    <row r="143" spans="1:3">
      <c r="A143">
        <v>141</v>
      </c>
      <c r="B143" s="221" t="s">
        <v>266</v>
      </c>
      <c r="C143" s="148"/>
    </row>
    <row r="144" spans="1:3">
      <c r="A144">
        <v>142</v>
      </c>
      <c r="B144" s="221" t="s">
        <v>267</v>
      </c>
      <c r="C144" s="149"/>
    </row>
    <row r="145" spans="1:3">
      <c r="A145">
        <v>143</v>
      </c>
      <c r="B145" s="221" t="s">
        <v>268</v>
      </c>
      <c r="C145" s="150"/>
    </row>
    <row r="146" spans="1:3">
      <c r="A146">
        <v>144</v>
      </c>
      <c r="B146" s="221" t="s">
        <v>269</v>
      </c>
      <c r="C146" s="151"/>
    </row>
    <row r="147" spans="1:3">
      <c r="A147">
        <v>145</v>
      </c>
      <c r="B147" s="221" t="s">
        <v>270</v>
      </c>
      <c r="C147" s="152"/>
    </row>
    <row r="148" spans="1:3">
      <c r="A148">
        <v>146</v>
      </c>
      <c r="B148" s="221" t="s">
        <v>271</v>
      </c>
      <c r="C148" s="153"/>
    </row>
    <row r="149" spans="1:3">
      <c r="A149">
        <v>147</v>
      </c>
      <c r="B149" s="221" t="s">
        <v>272</v>
      </c>
      <c r="C149" s="154"/>
    </row>
    <row r="150" spans="1:3">
      <c r="A150">
        <v>148</v>
      </c>
      <c r="B150" s="221" t="s">
        <v>273</v>
      </c>
      <c r="C150" s="155"/>
    </row>
    <row r="151" spans="1:3">
      <c r="A151">
        <v>149</v>
      </c>
      <c r="B151" s="221" t="s">
        <v>274</v>
      </c>
      <c r="C151" s="156"/>
    </row>
    <row r="152" spans="1:3">
      <c r="A152">
        <v>150</v>
      </c>
      <c r="B152" s="221" t="s">
        <v>275</v>
      </c>
      <c r="C152" s="157"/>
    </row>
    <row r="153" spans="1:3">
      <c r="A153">
        <v>151</v>
      </c>
      <c r="B153" s="221" t="s">
        <v>276</v>
      </c>
      <c r="C153" s="158"/>
    </row>
    <row r="154" spans="1:3">
      <c r="A154">
        <v>152</v>
      </c>
      <c r="B154" s="221" t="s">
        <v>277</v>
      </c>
      <c r="C154" s="159"/>
    </row>
    <row r="155" spans="1:3">
      <c r="A155">
        <v>153</v>
      </c>
      <c r="B155" s="221" t="s">
        <v>278</v>
      </c>
      <c r="C155" s="160"/>
    </row>
    <row r="156" spans="1:3">
      <c r="A156">
        <v>154</v>
      </c>
      <c r="B156" s="221" t="s">
        <v>279</v>
      </c>
      <c r="C156" s="161"/>
    </row>
    <row r="157" spans="1:3">
      <c r="A157">
        <v>155</v>
      </c>
      <c r="B157" s="221" t="s">
        <v>280</v>
      </c>
      <c r="C157" s="162"/>
    </row>
    <row r="158" spans="1:3">
      <c r="A158">
        <v>156</v>
      </c>
      <c r="B158" s="221" t="s">
        <v>280</v>
      </c>
      <c r="C158" s="162"/>
    </row>
    <row r="159" spans="1:3">
      <c r="A159">
        <v>157</v>
      </c>
      <c r="B159" s="221" t="s">
        <v>281</v>
      </c>
      <c r="C159" s="163"/>
    </row>
    <row r="160" spans="1:3">
      <c r="A160">
        <v>158</v>
      </c>
      <c r="B160" s="221" t="s">
        <v>282</v>
      </c>
      <c r="C160" s="164"/>
    </row>
    <row r="161" spans="1:3">
      <c r="A161">
        <v>159</v>
      </c>
      <c r="B161" s="221" t="s">
        <v>283</v>
      </c>
      <c r="C161" s="165"/>
    </row>
    <row r="162" spans="1:3">
      <c r="A162">
        <v>160</v>
      </c>
      <c r="B162" s="221" t="s">
        <v>284</v>
      </c>
      <c r="C162" s="166"/>
    </row>
    <row r="163" spans="1:3">
      <c r="A163">
        <v>161</v>
      </c>
      <c r="B163" s="221" t="s">
        <v>285</v>
      </c>
      <c r="C163" s="167"/>
    </row>
    <row r="164" spans="1:3">
      <c r="A164">
        <v>162</v>
      </c>
      <c r="B164" s="221" t="s">
        <v>286</v>
      </c>
      <c r="C164" s="168"/>
    </row>
    <row r="165" spans="1:3">
      <c r="A165">
        <v>163</v>
      </c>
      <c r="B165" s="221" t="s">
        <v>287</v>
      </c>
      <c r="C165" s="169"/>
    </row>
    <row r="166" spans="1:3">
      <c r="A166">
        <v>164</v>
      </c>
      <c r="B166" s="221" t="s">
        <v>288</v>
      </c>
      <c r="C166" s="170"/>
    </row>
    <row r="167" spans="1:3">
      <c r="A167">
        <v>165</v>
      </c>
      <c r="B167" s="221" t="s">
        <v>289</v>
      </c>
      <c r="C167" s="171"/>
    </row>
    <row r="168" spans="1:3">
      <c r="A168">
        <v>166</v>
      </c>
      <c r="B168" s="221" t="s">
        <v>290</v>
      </c>
      <c r="C168" s="172"/>
    </row>
    <row r="169" spans="1:3">
      <c r="A169">
        <v>167</v>
      </c>
      <c r="B169" s="221" t="s">
        <v>291</v>
      </c>
      <c r="C169" s="173"/>
    </row>
    <row r="170" spans="1:3">
      <c r="A170">
        <v>168</v>
      </c>
      <c r="B170" s="221" t="s">
        <v>292</v>
      </c>
      <c r="C170" s="174"/>
    </row>
    <row r="171" spans="1:3">
      <c r="A171">
        <v>169</v>
      </c>
      <c r="B171" s="221" t="s">
        <v>293</v>
      </c>
      <c r="C171" s="175"/>
    </row>
    <row r="172" spans="1:3">
      <c r="A172">
        <v>170</v>
      </c>
      <c r="B172" s="221" t="s">
        <v>294</v>
      </c>
      <c r="C172" s="176"/>
    </row>
    <row r="173" spans="1:3">
      <c r="A173">
        <v>171</v>
      </c>
      <c r="B173" s="221" t="s">
        <v>295</v>
      </c>
      <c r="C173" s="177"/>
    </row>
    <row r="174" spans="1:3">
      <c r="A174">
        <v>172</v>
      </c>
      <c r="B174" s="221" t="s">
        <v>296</v>
      </c>
      <c r="C174" s="178"/>
    </row>
    <row r="175" spans="1:3">
      <c r="A175">
        <v>173</v>
      </c>
      <c r="B175" s="221" t="s">
        <v>297</v>
      </c>
      <c r="C175" s="179"/>
    </row>
    <row r="176" spans="1:3">
      <c r="A176">
        <v>174</v>
      </c>
      <c r="B176" s="221" t="s">
        <v>298</v>
      </c>
      <c r="C176" s="180"/>
    </row>
    <row r="177" spans="1:3">
      <c r="A177">
        <v>175</v>
      </c>
      <c r="B177" s="221" t="s">
        <v>299</v>
      </c>
      <c r="C177" s="181"/>
    </row>
    <row r="178" spans="1:3">
      <c r="A178">
        <v>176</v>
      </c>
      <c r="B178" s="221" t="s">
        <v>300</v>
      </c>
      <c r="C178" s="182"/>
    </row>
    <row r="179" spans="1:3">
      <c r="A179">
        <v>177</v>
      </c>
      <c r="B179" s="221" t="s">
        <v>301</v>
      </c>
      <c r="C179" s="183"/>
    </row>
    <row r="180" spans="1:3">
      <c r="A180">
        <v>178</v>
      </c>
      <c r="B180" s="221" t="s">
        <v>302</v>
      </c>
      <c r="C180" s="184"/>
    </row>
    <row r="181" spans="1:3">
      <c r="A181">
        <v>179</v>
      </c>
      <c r="B181" s="221" t="s">
        <v>303</v>
      </c>
      <c r="C181" s="185"/>
    </row>
    <row r="182" spans="1:3">
      <c r="A182">
        <v>180</v>
      </c>
      <c r="B182" s="221" t="s">
        <v>304</v>
      </c>
      <c r="C182" s="186"/>
    </row>
    <row r="183" spans="1:3">
      <c r="A183">
        <v>181</v>
      </c>
      <c r="B183" s="221" t="s">
        <v>305</v>
      </c>
      <c r="C183" s="187"/>
    </row>
    <row r="184" spans="1:3">
      <c r="A184">
        <v>182</v>
      </c>
      <c r="B184" s="221" t="s">
        <v>306</v>
      </c>
      <c r="C184" s="188"/>
    </row>
    <row r="185" spans="1:3">
      <c r="A185">
        <v>183</v>
      </c>
      <c r="B185" s="221" t="s">
        <v>307</v>
      </c>
      <c r="C185" s="189"/>
    </row>
    <row r="186" spans="1:3">
      <c r="A186">
        <v>184</v>
      </c>
      <c r="B186" s="221" t="s">
        <v>253</v>
      </c>
      <c r="C186" s="135"/>
    </row>
    <row r="187" spans="1:3">
      <c r="A187">
        <v>185</v>
      </c>
      <c r="B187" s="221" t="s">
        <v>308</v>
      </c>
      <c r="C187" s="190"/>
    </row>
    <row r="188" spans="1:3">
      <c r="A188">
        <v>186</v>
      </c>
      <c r="B188" s="221" t="s">
        <v>309</v>
      </c>
      <c r="C188" s="191"/>
    </row>
    <row r="189" spans="1:3">
      <c r="A189">
        <v>187</v>
      </c>
      <c r="B189" s="221" t="s">
        <v>310</v>
      </c>
      <c r="C189" s="192"/>
    </row>
    <row r="190" spans="1:3">
      <c r="A190">
        <v>188</v>
      </c>
      <c r="B190" s="221" t="s">
        <v>311</v>
      </c>
      <c r="C190" s="193"/>
    </row>
    <row r="191" spans="1:3">
      <c r="A191">
        <v>189</v>
      </c>
      <c r="B191" s="221" t="s">
        <v>312</v>
      </c>
      <c r="C191" s="194"/>
    </row>
    <row r="192" spans="1:3">
      <c r="A192">
        <v>190</v>
      </c>
      <c r="B192" s="221" t="s">
        <v>313</v>
      </c>
      <c r="C192" s="195"/>
    </row>
    <row r="193" spans="1:3">
      <c r="A193">
        <v>191</v>
      </c>
      <c r="B193" s="221" t="s">
        <v>314</v>
      </c>
      <c r="C193" s="196"/>
    </row>
    <row r="194" spans="1:3">
      <c r="A194">
        <v>192</v>
      </c>
      <c r="B194" s="221" t="s">
        <v>315</v>
      </c>
      <c r="C194" s="197"/>
    </row>
    <row r="195" spans="1:3">
      <c r="A195">
        <v>193</v>
      </c>
      <c r="B195" s="221" t="s">
        <v>316</v>
      </c>
      <c r="C195" s="198"/>
    </row>
    <row r="196" spans="1:3">
      <c r="A196">
        <v>194</v>
      </c>
      <c r="B196" s="221" t="s">
        <v>317</v>
      </c>
      <c r="C196" s="199"/>
    </row>
    <row r="197" spans="1:3">
      <c r="A197">
        <v>195</v>
      </c>
      <c r="B197" s="221" t="s">
        <v>318</v>
      </c>
      <c r="C197" s="200"/>
    </row>
    <row r="198" spans="1:3">
      <c r="A198">
        <v>196</v>
      </c>
      <c r="B198" s="221" t="s">
        <v>319</v>
      </c>
      <c r="C198" s="201"/>
    </row>
    <row r="199" spans="1:3">
      <c r="A199">
        <v>197</v>
      </c>
      <c r="B199" s="221" t="s">
        <v>320</v>
      </c>
      <c r="C199" s="202"/>
    </row>
    <row r="200" spans="1:3">
      <c r="A200">
        <v>198</v>
      </c>
      <c r="B200" s="221" t="s">
        <v>321</v>
      </c>
      <c r="C200" s="203"/>
    </row>
    <row r="201" spans="1:3">
      <c r="A201">
        <v>199</v>
      </c>
      <c r="B201" s="221" t="s">
        <v>322</v>
      </c>
      <c r="C201" s="204"/>
    </row>
    <row r="202" spans="1:3">
      <c r="A202">
        <v>200</v>
      </c>
      <c r="B202" s="221" t="s">
        <v>323</v>
      </c>
      <c r="C202" s="205"/>
    </row>
    <row r="203" spans="1:3">
      <c r="A203">
        <v>201</v>
      </c>
      <c r="B203" s="221" t="s">
        <v>324</v>
      </c>
      <c r="C203" s="206"/>
    </row>
    <row r="204" spans="1:3">
      <c r="A204">
        <v>202</v>
      </c>
      <c r="B204" s="221" t="s">
        <v>325</v>
      </c>
      <c r="C204" s="207"/>
    </row>
    <row r="205" spans="1:3">
      <c r="A205">
        <v>203</v>
      </c>
      <c r="B205" s="221" t="s">
        <v>326</v>
      </c>
      <c r="C205" s="208"/>
    </row>
    <row r="206" spans="1:3">
      <c r="A206">
        <v>204</v>
      </c>
      <c r="B206" s="221" t="s">
        <v>327</v>
      </c>
      <c r="C206" s="209"/>
    </row>
    <row r="207" spans="1:3">
      <c r="A207">
        <v>205</v>
      </c>
      <c r="B207" s="221" t="s">
        <v>328</v>
      </c>
      <c r="C207" s="210"/>
    </row>
    <row r="208" spans="1:3">
      <c r="A208">
        <v>206</v>
      </c>
      <c r="B208" s="221" t="s">
        <v>329</v>
      </c>
      <c r="C208" s="211"/>
    </row>
    <row r="209" spans="1:3">
      <c r="A209">
        <v>207</v>
      </c>
      <c r="B209" s="221" t="s">
        <v>330</v>
      </c>
      <c r="C209" s="212"/>
    </row>
    <row r="210" spans="1:3">
      <c r="A210">
        <v>208</v>
      </c>
      <c r="B210" s="221" t="s">
        <v>331</v>
      </c>
      <c r="C210" s="213"/>
    </row>
    <row r="211" spans="1:3">
      <c r="A211">
        <v>209</v>
      </c>
      <c r="B211" s="221" t="s">
        <v>332</v>
      </c>
      <c r="C211" s="214"/>
    </row>
    <row r="212" spans="1:3">
      <c r="A212">
        <v>210</v>
      </c>
      <c r="B212" s="221" t="s">
        <v>333</v>
      </c>
      <c r="C212" s="215"/>
    </row>
    <row r="213" spans="1:3">
      <c r="A213">
        <v>211</v>
      </c>
      <c r="B213" s="221" t="s">
        <v>334</v>
      </c>
      <c r="C213" s="216"/>
    </row>
    <row r="214" spans="1:3">
      <c r="A214">
        <v>212</v>
      </c>
      <c r="B214" s="221" t="s">
        <v>335</v>
      </c>
      <c r="C214" s="217"/>
    </row>
    <row r="215" spans="1:3">
      <c r="A215">
        <v>213</v>
      </c>
      <c r="B215" s="221" t="s">
        <v>336</v>
      </c>
      <c r="C215" s="218"/>
    </row>
    <row r="216" spans="1:3">
      <c r="A216">
        <v>214</v>
      </c>
      <c r="B216" s="221" t="s">
        <v>337</v>
      </c>
      <c r="C216" s="219"/>
    </row>
    <row r="217" spans="1:3">
      <c r="A217">
        <v>215</v>
      </c>
      <c r="B217" s="221" t="s">
        <v>338</v>
      </c>
      <c r="C217" s="220"/>
    </row>
    <row r="218" spans="1:3">
      <c r="A218">
        <v>216</v>
      </c>
      <c r="B218" s="221" t="s">
        <v>339</v>
      </c>
      <c r="C218" s="222"/>
    </row>
    <row r="219" spans="1:3">
      <c r="A219">
        <v>217</v>
      </c>
      <c r="B219" s="221" t="s">
        <v>340</v>
      </c>
      <c r="C219" s="223"/>
    </row>
    <row r="220" spans="1:3">
      <c r="A220">
        <v>218</v>
      </c>
      <c r="B220" s="221" t="s">
        <v>341</v>
      </c>
      <c r="C220" s="224"/>
    </row>
    <row r="221" spans="1:3">
      <c r="A221">
        <v>219</v>
      </c>
      <c r="B221" s="221" t="s">
        <v>342</v>
      </c>
      <c r="C221" s="225"/>
    </row>
    <row r="222" spans="1:3">
      <c r="A222">
        <v>220</v>
      </c>
      <c r="B222" s="221" t="s">
        <v>343</v>
      </c>
      <c r="C222" s="226"/>
    </row>
    <row r="223" spans="1:3">
      <c r="A223">
        <v>221</v>
      </c>
      <c r="B223" s="221" t="s">
        <v>344</v>
      </c>
      <c r="C223" s="227"/>
    </row>
    <row r="224" spans="1:3">
      <c r="A224">
        <v>222</v>
      </c>
      <c r="B224" s="221" t="s">
        <v>345</v>
      </c>
      <c r="C224" s="228"/>
    </row>
    <row r="225" spans="1:3">
      <c r="A225">
        <v>223</v>
      </c>
      <c r="B225" s="221" t="s">
        <v>346</v>
      </c>
      <c r="C225" s="229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貨物</vt:lpstr>
      <vt:lpstr>カテゴリ</vt:lpstr>
      <vt:lpstr>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林田光惺</dc:creator>
  <cp:lastModifiedBy>光惺 林田</cp:lastModifiedBy>
  <dcterms:created xsi:type="dcterms:W3CDTF">2015-06-05T18:19:34Z</dcterms:created>
  <dcterms:modified xsi:type="dcterms:W3CDTF">2026-10-02T01:34:20Z</dcterms:modified>
</cp:coreProperties>
</file>