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kyont\private\game_modding\simutrans\128japan+\src\産業\"/>
    </mc:Choice>
  </mc:AlternateContent>
  <xr:revisionPtr revIDLastSave="0" documentId="13_ncr:1_{6A3C19EE-BDBF-453E-ACB3-E8DC6DAACED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生産性と旅客度" sheetId="1" r:id="rId1"/>
    <sheet name="出現頻度" sheetId="2" r:id="rId2"/>
    <sheet name="色" sheetId="3" r:id="rId3"/>
  </sheets>
  <definedNames>
    <definedName name="_xlnm._FilterDatabase" localSheetId="1" hidden="1">出現頻度!$A$1:$E$23</definedName>
    <definedName name="_xlnm._FilterDatabase" localSheetId="2" hidden="1">色!$A$1:$C$225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2" i="1" l="1"/>
  <c r="N31" i="1"/>
  <c r="P31" i="1" s="1"/>
  <c r="O31" i="1"/>
  <c r="K32" i="1"/>
  <c r="K31" i="1"/>
  <c r="L31" i="1" s="1"/>
  <c r="M31" i="1" s="1"/>
  <c r="J32" i="1"/>
  <c r="J31" i="1"/>
  <c r="I32" i="1"/>
  <c r="I31" i="1"/>
  <c r="B31" i="1"/>
  <c r="N29" i="1"/>
  <c r="O29" i="1" s="1"/>
  <c r="P29" i="1" s="1"/>
  <c r="K29" i="1"/>
  <c r="L29" i="1" s="1"/>
  <c r="M29" i="1" s="1"/>
  <c r="J29" i="1"/>
  <c r="I29" i="1"/>
  <c r="B26" i="1"/>
  <c r="B27" i="1"/>
  <c r="B28" i="1"/>
  <c r="B30" i="1"/>
  <c r="B29" i="1"/>
  <c r="B32" i="1"/>
  <c r="L32" i="1" l="1"/>
  <c r="M32" i="1" s="1"/>
  <c r="O32" i="1"/>
  <c r="P32" i="1" s="1"/>
  <c r="I6" i="1"/>
  <c r="J6" i="1"/>
  <c r="K6" i="1"/>
  <c r="N6" i="1"/>
  <c r="O6" i="1" s="1"/>
  <c r="B6" i="1"/>
  <c r="B19" i="1"/>
  <c r="L6" i="1" l="1"/>
  <c r="M6" i="1" s="1"/>
  <c r="P6" i="1"/>
  <c r="I19" i="1"/>
  <c r="J19" i="1"/>
  <c r="N19" i="1"/>
  <c r="O19" i="1" s="1"/>
  <c r="P19" i="1" s="1"/>
  <c r="K19" i="1"/>
  <c r="B5" i="1"/>
  <c r="B4" i="1"/>
  <c r="B3" i="1"/>
  <c r="L19" i="1" l="1"/>
  <c r="M19" i="1" s="1"/>
  <c r="B24" i="1"/>
  <c r="B23" i="1"/>
  <c r="B22" i="1"/>
  <c r="B21" i="1"/>
  <c r="B18" i="1" l="1"/>
  <c r="N18" i="1"/>
  <c r="K18" i="1"/>
  <c r="J18" i="1"/>
  <c r="I18" i="1"/>
  <c r="B16" i="1"/>
  <c r="B17" i="1"/>
  <c r="B15" i="1"/>
  <c r="L18" i="1" l="1"/>
  <c r="M18" i="1" s="1"/>
  <c r="O18" i="1"/>
  <c r="P18" i="1" s="1"/>
  <c r="N17" i="1"/>
  <c r="K17" i="1"/>
  <c r="J17" i="1"/>
  <c r="I17" i="1"/>
  <c r="N35" i="1"/>
  <c r="N34" i="1"/>
  <c r="N30" i="1"/>
  <c r="N28" i="1"/>
  <c r="N27" i="1"/>
  <c r="N26" i="1"/>
  <c r="N24" i="1"/>
  <c r="N23" i="1"/>
  <c r="N22" i="1"/>
  <c r="N21" i="1"/>
  <c r="N16" i="1"/>
  <c r="N15" i="1"/>
  <c r="N13" i="1"/>
  <c r="N12" i="1"/>
  <c r="N10" i="1"/>
  <c r="N9" i="1"/>
  <c r="N8" i="1"/>
  <c r="N5" i="1"/>
  <c r="N4" i="1"/>
  <c r="N3" i="1"/>
  <c r="J5" i="1"/>
  <c r="I5" i="1"/>
  <c r="J4" i="1"/>
  <c r="I4" i="1"/>
  <c r="J3" i="1"/>
  <c r="I3" i="1"/>
  <c r="J10" i="1"/>
  <c r="I10" i="1"/>
  <c r="J9" i="1"/>
  <c r="I9" i="1"/>
  <c r="J8" i="1"/>
  <c r="I8" i="1"/>
  <c r="J13" i="1"/>
  <c r="I13" i="1"/>
  <c r="J12" i="1"/>
  <c r="I12" i="1"/>
  <c r="J16" i="1"/>
  <c r="I16" i="1"/>
  <c r="J15" i="1"/>
  <c r="I15" i="1"/>
  <c r="J24" i="1"/>
  <c r="I24" i="1"/>
  <c r="J23" i="1"/>
  <c r="I23" i="1"/>
  <c r="J22" i="1"/>
  <c r="I22" i="1"/>
  <c r="J21" i="1"/>
  <c r="I21" i="1"/>
  <c r="J30" i="1"/>
  <c r="I30" i="1"/>
  <c r="J28" i="1"/>
  <c r="I28" i="1"/>
  <c r="J27" i="1"/>
  <c r="I27" i="1"/>
  <c r="J26" i="1"/>
  <c r="I26" i="1"/>
  <c r="J34" i="1"/>
  <c r="I34" i="1"/>
  <c r="J35" i="1"/>
  <c r="I35" i="1"/>
  <c r="K16" i="1"/>
  <c r="K15" i="1"/>
  <c r="K5" i="1"/>
  <c r="K4" i="1"/>
  <c r="K13" i="1"/>
  <c r="K12" i="1"/>
  <c r="K24" i="1"/>
  <c r="K23" i="1"/>
  <c r="K22" i="1"/>
  <c r="K21" i="1"/>
  <c r="K10" i="1"/>
  <c r="K9" i="1"/>
  <c r="K8" i="1"/>
  <c r="K30" i="1"/>
  <c r="K28" i="1"/>
  <c r="K27" i="1"/>
  <c r="K26" i="1"/>
  <c r="K35" i="1"/>
  <c r="K34" i="1"/>
  <c r="K3" i="1"/>
  <c r="O17" i="1" l="1"/>
  <c r="P17" i="1" s="1"/>
  <c r="L17" i="1"/>
  <c r="M17" i="1" s="1"/>
  <c r="L34" i="1"/>
  <c r="M34" i="1" s="1"/>
  <c r="L16" i="1"/>
  <c r="M16" i="1" s="1"/>
  <c r="O16" i="1"/>
  <c r="P16" i="1" s="1"/>
  <c r="O15" i="1"/>
  <c r="P15" i="1" s="1"/>
  <c r="L15" i="1"/>
  <c r="M15" i="1" s="1"/>
  <c r="L5" i="1"/>
  <c r="M5" i="1" s="1"/>
  <c r="O5" i="1"/>
  <c r="P5" i="1" s="1"/>
  <c r="L4" i="1"/>
  <c r="M4" i="1" s="1"/>
  <c r="O4" i="1"/>
  <c r="P4" i="1" s="1"/>
  <c r="L13" i="1"/>
  <c r="M13" i="1" s="1"/>
  <c r="O13" i="1"/>
  <c r="P13" i="1" s="1"/>
  <c r="L12" i="1"/>
  <c r="M12" i="1" s="1"/>
  <c r="O12" i="1"/>
  <c r="P12" i="1" s="1"/>
  <c r="O34" i="1"/>
  <c r="P34" i="1" s="1"/>
  <c r="L3" i="1"/>
  <c r="M3" i="1" s="1"/>
  <c r="L8" i="1"/>
  <c r="M8" i="1" s="1"/>
  <c r="L24" i="1"/>
  <c r="M24" i="1" s="1"/>
  <c r="O24" i="1"/>
  <c r="P24" i="1" s="1"/>
  <c r="L23" i="1"/>
  <c r="M23" i="1" s="1"/>
  <c r="O23" i="1"/>
  <c r="P23" i="1" s="1"/>
  <c r="L22" i="1"/>
  <c r="M22" i="1" s="1"/>
  <c r="O22" i="1"/>
  <c r="P22" i="1" s="1"/>
  <c r="L21" i="1"/>
  <c r="M21" i="1" s="1"/>
  <c r="O21" i="1"/>
  <c r="P21" i="1" s="1"/>
  <c r="O8" i="1"/>
  <c r="P8" i="1" s="1"/>
  <c r="O3" i="1"/>
  <c r="P3" i="1" s="1"/>
  <c r="L10" i="1"/>
  <c r="M10" i="1" s="1"/>
  <c r="O10" i="1"/>
  <c r="P10" i="1" s="1"/>
  <c r="L9" i="1"/>
  <c r="M9" i="1" s="1"/>
  <c r="O9" i="1"/>
  <c r="P9" i="1" s="1"/>
  <c r="O35" i="1"/>
  <c r="P35" i="1" s="1"/>
  <c r="L30" i="1"/>
  <c r="M30" i="1" s="1"/>
  <c r="O30" i="1"/>
  <c r="P30" i="1" s="1"/>
  <c r="L28" i="1"/>
  <c r="M28" i="1" s="1"/>
  <c r="O28" i="1"/>
  <c r="P28" i="1" s="1"/>
  <c r="L27" i="1"/>
  <c r="M27" i="1" s="1"/>
  <c r="O27" i="1"/>
  <c r="P27" i="1" s="1"/>
  <c r="L26" i="1"/>
  <c r="M26" i="1" s="1"/>
  <c r="O26" i="1"/>
  <c r="P26" i="1" s="1"/>
  <c r="L35" i="1"/>
  <c r="M35" i="1" s="1"/>
</calcChain>
</file>

<file path=xl/sharedStrings.xml><?xml version="1.0" encoding="utf-8"?>
<sst xmlns="http://schemas.openxmlformats.org/spreadsheetml/2006/main" count="360" uniqueCount="294">
  <si>
    <t>生産性</t>
    <rPh sb="0" eb="3">
      <t>セイサンセイ</t>
    </rPh>
    <phoneticPr fontId="1"/>
  </si>
  <si>
    <t>ばらつき</t>
    <phoneticPr fontId="1"/>
  </si>
  <si>
    <t>最高生産 単位/月
最小値</t>
    <rPh sb="0" eb="2">
      <t>サイコウ</t>
    </rPh>
    <rPh sb="2" eb="4">
      <t>セイサン</t>
    </rPh>
    <rPh sb="5" eb="7">
      <t>タンイ</t>
    </rPh>
    <rPh sb="8" eb="9">
      <t>ツキ</t>
    </rPh>
    <rPh sb="10" eb="13">
      <t>サイショウチ</t>
    </rPh>
    <phoneticPr fontId="1"/>
  </si>
  <si>
    <t>最高生産 単位/月
最大値</t>
    <rPh sb="0" eb="2">
      <t>サイコウ</t>
    </rPh>
    <rPh sb="2" eb="4">
      <t>セイサン</t>
    </rPh>
    <rPh sb="5" eb="7">
      <t>タンイ</t>
    </rPh>
    <rPh sb="8" eb="9">
      <t>ツキ</t>
    </rPh>
    <rPh sb="10" eb="13">
      <t>サイダイチ</t>
    </rPh>
    <phoneticPr fontId="1"/>
  </si>
  <si>
    <t>旅客需要</t>
    <rPh sb="0" eb="2">
      <t>リョカク</t>
    </rPh>
    <rPh sb="2" eb="4">
      <t>ジュヨウ</t>
    </rPh>
    <phoneticPr fontId="1"/>
  </si>
  <si>
    <t>郵便需要</t>
    <rPh sb="0" eb="2">
      <t>ユウビン</t>
    </rPh>
    <rPh sb="2" eb="4">
      <t>ジュヨウ</t>
    </rPh>
    <phoneticPr fontId="1"/>
  </si>
  <si>
    <t>総旅客数目安
最小値</t>
    <rPh sb="0" eb="1">
      <t>ソウ</t>
    </rPh>
    <rPh sb="1" eb="4">
      <t>リョカクスウ</t>
    </rPh>
    <rPh sb="4" eb="6">
      <t>メヤス</t>
    </rPh>
    <rPh sb="7" eb="10">
      <t>サイショウチ</t>
    </rPh>
    <phoneticPr fontId="1"/>
  </si>
  <si>
    <t>総郵便数目安
最小値</t>
    <rPh sb="0" eb="1">
      <t>ソウ</t>
    </rPh>
    <rPh sb="1" eb="3">
      <t>ユウビン</t>
    </rPh>
    <rPh sb="3" eb="4">
      <t>スウ</t>
    </rPh>
    <rPh sb="4" eb="6">
      <t>メヤス</t>
    </rPh>
    <rPh sb="7" eb="10">
      <t>サイショウチ</t>
    </rPh>
    <phoneticPr fontId="1"/>
  </si>
  <si>
    <t>総郵便数目安
最大値</t>
    <rPh sb="0" eb="1">
      <t>ソウ</t>
    </rPh>
    <rPh sb="1" eb="3">
      <t>ユウビン</t>
    </rPh>
    <rPh sb="3" eb="4">
      <t>スウ</t>
    </rPh>
    <rPh sb="4" eb="6">
      <t>メヤス</t>
    </rPh>
    <rPh sb="7" eb="10">
      <t>サイダイチ</t>
    </rPh>
    <phoneticPr fontId="1"/>
  </si>
  <si>
    <t>総旅客数目安
最大値</t>
    <rPh sb="0" eb="1">
      <t>ソウ</t>
    </rPh>
    <rPh sb="1" eb="4">
      <t>リョカクスウ</t>
    </rPh>
    <rPh sb="4" eb="6">
      <t>メヤス</t>
    </rPh>
    <rPh sb="7" eb="10">
      <t>サイダイチ</t>
    </rPh>
    <phoneticPr fontId="1"/>
  </si>
  <si>
    <t>ごみ収集所</t>
    <rPh sb="2" eb="4">
      <t>シュウシュウ</t>
    </rPh>
    <rPh sb="4" eb="5">
      <t>ジョ</t>
    </rPh>
    <phoneticPr fontId="1"/>
  </si>
  <si>
    <t>生活雑貨工場</t>
    <rPh sb="0" eb="4">
      <t>セイカツザッカ</t>
    </rPh>
    <rPh sb="4" eb="6">
      <t>コウジョウ</t>
    </rPh>
    <phoneticPr fontId="1"/>
  </si>
  <si>
    <t>雑貨店</t>
    <rPh sb="0" eb="3">
      <t>ザッカテン</t>
    </rPh>
    <phoneticPr fontId="1"/>
  </si>
  <si>
    <t>製紙工場</t>
    <rPh sb="0" eb="4">
      <t>セイシコウジョウ</t>
    </rPh>
    <phoneticPr fontId="1"/>
  </si>
  <si>
    <t>出版社</t>
    <rPh sb="0" eb="3">
      <t>シュッパンシャ</t>
    </rPh>
    <phoneticPr fontId="1"/>
  </si>
  <si>
    <t>印刷所</t>
    <rPh sb="0" eb="3">
      <t>インサツジョ</t>
    </rPh>
    <phoneticPr fontId="1"/>
  </si>
  <si>
    <t>書店</t>
    <rPh sb="0" eb="2">
      <t>ショテン</t>
    </rPh>
    <phoneticPr fontId="1"/>
  </si>
  <si>
    <t>炭鉱（シャフト式）</t>
    <rPh sb="0" eb="2">
      <t>タンコウ</t>
    </rPh>
    <rPh sb="7" eb="8">
      <t>シキ</t>
    </rPh>
    <phoneticPr fontId="1"/>
  </si>
  <si>
    <t>炭鉱（三池炭鉱万田坑）</t>
    <rPh sb="0" eb="2">
      <t>タンコウ</t>
    </rPh>
    <rPh sb="3" eb="7">
      <t>ミイケタンコウ</t>
    </rPh>
    <rPh sb="7" eb="10">
      <t>マンダコウ</t>
    </rPh>
    <phoneticPr fontId="1"/>
  </si>
  <si>
    <t>石炭火力発電所</t>
    <rPh sb="0" eb="7">
      <t>セキタンカリョク</t>
    </rPh>
    <phoneticPr fontId="1"/>
  </si>
  <si>
    <t>油田</t>
    <rPh sb="0" eb="2">
      <t>ユデン</t>
    </rPh>
    <phoneticPr fontId="1"/>
  </si>
  <si>
    <t>製油所</t>
    <rPh sb="0" eb="3">
      <t>セイユジョ</t>
    </rPh>
    <phoneticPr fontId="1"/>
  </si>
  <si>
    <t>化学工場</t>
    <rPh sb="0" eb="4">
      <t>カガクコウジョウ</t>
    </rPh>
    <phoneticPr fontId="1"/>
  </si>
  <si>
    <t>ガソリンスタンド</t>
    <phoneticPr fontId="1"/>
  </si>
  <si>
    <t>鉄鉱山</t>
    <rPh sb="0" eb="3">
      <t>テッコウザン</t>
    </rPh>
    <phoneticPr fontId="1"/>
  </si>
  <si>
    <t>製鉄所</t>
    <rPh sb="0" eb="3">
      <t>セイテツジョ</t>
    </rPh>
    <phoneticPr fontId="1"/>
  </si>
  <si>
    <t>リサイクル工場（資源ごみ）</t>
    <rPh sb="5" eb="7">
      <t>コウジョウ</t>
    </rPh>
    <rPh sb="8" eb="10">
      <t>シゲン</t>
    </rPh>
    <phoneticPr fontId="1"/>
  </si>
  <si>
    <t>リサイクル工場（粗大ごみ）</t>
    <rPh sb="5" eb="7">
      <t>コウジョウ</t>
    </rPh>
    <rPh sb="8" eb="10">
      <t>ソダイ</t>
    </rPh>
    <phoneticPr fontId="1"/>
  </si>
  <si>
    <t>Abfall 廃棄物産業</t>
    <rPh sb="7" eb="10">
      <t>ハイキブツ</t>
    </rPh>
    <rPh sb="10" eb="12">
      <t>サンギョウ</t>
    </rPh>
    <phoneticPr fontId="1"/>
  </si>
  <si>
    <t>Eisen 鉄産業</t>
    <rPh sb="6" eb="7">
      <t>テツ</t>
    </rPh>
    <rPh sb="7" eb="9">
      <t>サンギョウ</t>
    </rPh>
    <phoneticPr fontId="1"/>
  </si>
  <si>
    <t>Kohle 石炭産業</t>
    <rPh sb="6" eb="10">
      <t>セキタンサンギョウ</t>
    </rPh>
    <phoneticPr fontId="1"/>
  </si>
  <si>
    <t>Oel 石油産業</t>
    <rPh sb="4" eb="8">
      <t>セキユサンギョウ</t>
    </rPh>
    <phoneticPr fontId="1"/>
  </si>
  <si>
    <t>Papier 紙産業</t>
    <rPh sb="7" eb="8">
      <t>カミ</t>
    </rPh>
    <rPh sb="8" eb="10">
      <t>サンギョウ</t>
    </rPh>
    <phoneticPr fontId="1"/>
  </si>
  <si>
    <t>Waren 雑貨産業</t>
    <rPh sb="6" eb="8">
      <t>ザッカ</t>
    </rPh>
    <rPh sb="8" eb="10">
      <t>サンギョウ</t>
    </rPh>
    <phoneticPr fontId="1"/>
  </si>
  <si>
    <t>Holz 木材産業</t>
    <rPh sb="5" eb="9">
      <t>モクザイサンギョウ</t>
    </rPh>
    <phoneticPr fontId="1"/>
  </si>
  <si>
    <t>伐採所</t>
    <rPh sb="0" eb="3">
      <t>バッサイジョ</t>
    </rPh>
    <phoneticPr fontId="1"/>
  </si>
  <si>
    <t>製材所</t>
    <rPh sb="0" eb="3">
      <t>セイザイジョ</t>
    </rPh>
    <phoneticPr fontId="1"/>
  </si>
  <si>
    <t>総旅客数目安
期待値</t>
    <rPh sb="0" eb="1">
      <t>ソウ</t>
    </rPh>
    <rPh sb="1" eb="4">
      <t>リョカクスウ</t>
    </rPh>
    <rPh sb="4" eb="6">
      <t>メヤス</t>
    </rPh>
    <rPh sb="7" eb="10">
      <t>キタイチ</t>
    </rPh>
    <phoneticPr fontId="1"/>
  </si>
  <si>
    <t>総郵便数目安
期待値</t>
    <rPh sb="0" eb="3">
      <t>ソウユウビン</t>
    </rPh>
    <rPh sb="3" eb="4">
      <t>スウ</t>
    </rPh>
    <rPh sb="4" eb="6">
      <t>メヤス</t>
    </rPh>
    <rPh sb="7" eb="10">
      <t>キタイチ</t>
    </rPh>
    <phoneticPr fontId="1"/>
  </si>
  <si>
    <t>施設名</t>
    <rPh sb="0" eb="3">
      <t>シセツメイ</t>
    </rPh>
    <phoneticPr fontId="1"/>
  </si>
  <si>
    <t>産業網</t>
    <rPh sb="0" eb="2">
      <t>サンギョウ</t>
    </rPh>
    <rPh sb="2" eb="3">
      <t>モウ</t>
    </rPh>
    <phoneticPr fontId="1"/>
  </si>
  <si>
    <t>n次</t>
    <rPh sb="1" eb="2">
      <t>ジ</t>
    </rPh>
    <phoneticPr fontId="1"/>
  </si>
  <si>
    <t>場所</t>
    <rPh sb="0" eb="2">
      <t>バショ</t>
    </rPh>
    <phoneticPr fontId="1"/>
  </si>
  <si>
    <t>出現頻度</t>
    <rPh sb="0" eb="4">
      <t>シュツゲンヒンド</t>
    </rPh>
    <phoneticPr fontId="1"/>
  </si>
  <si>
    <t>Abfall 廃棄物</t>
    <rPh sb="7" eb="10">
      <t>ハイキブツ</t>
    </rPh>
    <phoneticPr fontId="1"/>
  </si>
  <si>
    <t>Kohle 石炭</t>
    <phoneticPr fontId="1"/>
  </si>
  <si>
    <t>Eisen 鉄</t>
    <phoneticPr fontId="1"/>
  </si>
  <si>
    <t>Holz 木材</t>
    <phoneticPr fontId="1"/>
  </si>
  <si>
    <t>Oel 石油</t>
    <phoneticPr fontId="1"/>
  </si>
  <si>
    <t>Papier 紙</t>
    <phoneticPr fontId="1"/>
  </si>
  <si>
    <t>Waren 雑貨</t>
    <phoneticPr fontId="1"/>
  </si>
  <si>
    <t>City</t>
  </si>
  <si>
    <t>Land</t>
  </si>
  <si>
    <t>家具工場</t>
    <rPh sb="0" eb="2">
      <t>カグ</t>
    </rPh>
    <rPh sb="2" eb="4">
      <t>コウジョウ</t>
    </rPh>
    <phoneticPr fontId="1"/>
  </si>
  <si>
    <t>色</t>
    <rPh sb="0" eb="1">
      <t>イロ</t>
    </rPh>
    <phoneticPr fontId="1"/>
  </si>
  <si>
    <t>色番号</t>
    <rPh sb="0" eb="1">
      <t>イロ</t>
    </rPh>
    <rPh sb="1" eb="3">
      <t>バンゴウ</t>
    </rPh>
    <phoneticPr fontId="1"/>
  </si>
  <si>
    <t>カラーコード</t>
    <phoneticPr fontId="1"/>
  </si>
  <si>
    <t>#244B67</t>
  </si>
  <si>
    <t>#395E7C</t>
    <phoneticPr fontId="1"/>
  </si>
  <si>
    <t>#4C7191</t>
  </si>
  <si>
    <t>#6084A7</t>
  </si>
  <si>
    <t>#7497BD</t>
  </si>
  <si>
    <t>#88ABD3</t>
  </si>
  <si>
    <t>#9CBEE9</t>
  </si>
  <si>
    <t>#B0D2FF</t>
  </si>
  <si>
    <t>#585858</t>
  </si>
  <si>
    <t>#6B6B6B</t>
  </si>
  <si>
    <t>#7D7D7D</t>
  </si>
  <si>
    <t>#909090</t>
  </si>
  <si>
    <t>#A2A2A2</t>
  </si>
  <si>
    <t>#B5B5B5</t>
  </si>
  <si>
    <t>#C8C8C8</t>
  </si>
  <si>
    <t>#DBDBDB</t>
  </si>
  <si>
    <t>#113785</t>
  </si>
  <si>
    <t>#1B4796</t>
  </si>
  <si>
    <t>#2556A7</t>
  </si>
  <si>
    <t>#3066B9</t>
  </si>
  <si>
    <t>#3A75CA</t>
  </si>
  <si>
    <t>#4585DC</t>
  </si>
  <si>
    <t>#4F95ED</t>
  </si>
  <si>
    <t>#5AA5FF</t>
  </si>
  <si>
    <t>#7B5803</t>
  </si>
  <si>
    <t>#8E6F04</t>
  </si>
  <si>
    <t>#A18605</t>
  </si>
  <si>
    <t>#B49D07</t>
  </si>
  <si>
    <t>#C6B408</t>
  </si>
  <si>
    <t>#D9CB0A</t>
  </si>
  <si>
    <t>#ECE20B</t>
  </si>
  <si>
    <t>#FFF90D</t>
  </si>
  <si>
    <t>#56200E</t>
  </si>
  <si>
    <t>#6E2810</t>
  </si>
  <si>
    <t>#863012</t>
  </si>
  <si>
    <t>#9E3914</t>
  </si>
  <si>
    <t>#B64116</t>
  </si>
  <si>
    <t>#CE4A18</t>
  </si>
  <si>
    <t>#E6521A</t>
  </si>
  <si>
    <t>#FF5B1C</t>
  </si>
  <si>
    <t>#223B0A</t>
  </si>
  <si>
    <t>#2C500E</t>
  </si>
  <si>
    <t>#356512</t>
  </si>
  <si>
    <t>#3F7A16</t>
  </si>
  <si>
    <t>#4D8F1D</t>
  </si>
  <si>
    <t>#5CA425</t>
  </si>
  <si>
    <t>#6AB92C</t>
  </si>
  <si>
    <t>#79CF34</t>
  </si>
  <si>
    <t>#00564E</t>
  </si>
  <si>
    <t>#006C62</t>
  </si>
  <si>
    <t>#008276</t>
  </si>
  <si>
    <t>#00988A</t>
  </si>
  <si>
    <t>#00AE9E</t>
  </si>
  <si>
    <t>#00C4B2</t>
  </si>
  <si>
    <t>#00DAC6</t>
  </si>
  <si>
    <t>#00F1DB</t>
  </si>
  <si>
    <t>#4A077A</t>
  </si>
  <si>
    <t>#5F158B</t>
  </si>
  <si>
    <t>#74259C</t>
  </si>
  <si>
    <t>#8A35AD</t>
  </si>
  <si>
    <t>#A045BF</t>
  </si>
  <si>
    <t>#B555D0</t>
  </si>
  <si>
    <t>#CB65E1</t>
  </si>
  <si>
    <t>#E175F3</t>
  </si>
  <si>
    <t>#3B2900</t>
  </si>
  <si>
    <t>#533700</t>
  </si>
  <si>
    <t>#6B4500</t>
  </si>
  <si>
    <t>#835400</t>
  </si>
  <si>
    <t>#9B6200</t>
  </si>
  <si>
    <t>#B37100</t>
  </si>
  <si>
    <t>#CB8000</t>
  </si>
  <si>
    <t>#E38F00</t>
  </si>
  <si>
    <t>#57002B</t>
  </si>
  <si>
    <t>#6F0B45</t>
  </si>
  <si>
    <t>#871C5C</t>
  </si>
  <si>
    <t>#9F2D73</t>
  </si>
  <si>
    <t>#B73E8A</t>
  </si>
  <si>
    <t>#E64AAE</t>
  </si>
  <si>
    <t>#F579C2</t>
  </si>
  <si>
    <t>#FF9CD1</t>
  </si>
  <si>
    <t>#14300A</t>
  </si>
  <si>
    <t>#2C4A1C</t>
  </si>
  <si>
    <t>#44632D</t>
  </si>
  <si>
    <t>#5D7C3E</t>
  </si>
  <si>
    <t>#76954F</t>
  </si>
  <si>
    <t>#8FAE60</t>
  </si>
  <si>
    <t>#A8C771</t>
  </si>
  <si>
    <t>#C1E182</t>
  </si>
  <si>
    <t>#36131D</t>
  </si>
  <si>
    <t>#522C2C</t>
  </si>
  <si>
    <t>#6E453A</t>
  </si>
  <si>
    <t>#8B5F48</t>
  </si>
  <si>
    <t>#A87956</t>
  </si>
  <si>
    <t>#C59365</t>
  </si>
  <si>
    <t>#E2AD73</t>
  </si>
  <si>
    <t>#FFC782</t>
  </si>
  <si>
    <t>#080B64</t>
  </si>
  <si>
    <t>#0E1674</t>
  </si>
  <si>
    <t>#14218B</t>
  </si>
  <si>
    <t>#1A2CA2</t>
  </si>
  <si>
    <t>#294AB9</t>
  </si>
  <si>
    <t>#3968D0</t>
  </si>
  <si>
    <t>#4C84E7</t>
  </si>
  <si>
    <t>#60A0FF</t>
  </si>
  <si>
    <t>#2B1E2E</t>
  </si>
  <si>
    <t>#443255</t>
  </si>
  <si>
    <t>#5D466E</t>
  </si>
  <si>
    <t>#765B82</t>
  </si>
  <si>
    <t>#8F6FAA</t>
  </si>
  <si>
    <t>#A884BE</t>
  </si>
  <si>
    <t>#C199D2</t>
  </si>
  <si>
    <t>#DBAEE6</t>
  </si>
  <si>
    <t>#3F120C</t>
  </si>
  <si>
    <t>#5A261E</t>
  </si>
  <si>
    <t>#753A2A</t>
  </si>
  <si>
    <t>#914E37</t>
  </si>
  <si>
    <t>#AC6243</t>
  </si>
  <si>
    <t>#C87650</t>
  </si>
  <si>
    <t>#E38A5C</t>
  </si>
  <si>
    <t>#FF9F69</t>
  </si>
  <si>
    <t>#0B441E</t>
  </si>
  <si>
    <t>#215E38</t>
  </si>
  <si>
    <t>#367851</t>
  </si>
  <si>
    <t>#4C936A</t>
  </si>
  <si>
    <t>#62AE83</t>
  </si>
  <si>
    <t>#78C99C</t>
  </si>
  <si>
    <t>#8EE4B5</t>
  </si>
  <si>
    <t>#A4FFCF</t>
  </si>
  <si>
    <t>#400000</t>
  </si>
  <si>
    <t>#600000</t>
  </si>
  <si>
    <t>#800000</t>
  </si>
  <si>
    <t>#C00000</t>
  </si>
  <si>
    <t>#FF0000</t>
  </si>
  <si>
    <t>#FF4040</t>
  </si>
  <si>
    <t>#FF6060</t>
  </si>
  <si>
    <t>#FF8080</t>
  </si>
  <si>
    <t>#008000</t>
  </si>
  <si>
    <t>#00C400</t>
  </si>
  <si>
    <t>#00E100</t>
  </si>
  <si>
    <t>#00F000</t>
  </si>
  <si>
    <t>#00FF00</t>
  </si>
  <si>
    <t>#40FF40</t>
  </si>
  <si>
    <t>#5EFF5E</t>
  </si>
  <si>
    <t>#80FF80</t>
  </si>
  <si>
    <t>#000080</t>
  </si>
  <si>
    <t>#0000C0</t>
  </si>
  <si>
    <t>#0000E0</t>
  </si>
  <si>
    <t>#0000FF</t>
  </si>
  <si>
    <t>#0040FF</t>
  </si>
  <si>
    <t>#005EFF</t>
  </si>
  <si>
    <t>#006AFF</t>
  </si>
  <si>
    <t>#0080FF</t>
  </si>
  <si>
    <t>#804000</t>
  </si>
  <si>
    <t>#C16100</t>
  </si>
  <si>
    <t>#D76B00</t>
  </si>
  <si>
    <t>#FF8000</t>
  </si>
  <si>
    <t>#FF952B</t>
  </si>
  <si>
    <t>#FFAA55</t>
  </si>
  <si>
    <t>#FFC184</t>
  </si>
  <si>
    <t>#083400</t>
  </si>
  <si>
    <t>#104000</t>
  </si>
  <si>
    <t>#205004</t>
  </si>
  <si>
    <t>#306004</t>
  </si>
  <si>
    <t>#40700C</t>
  </si>
  <si>
    <t>#548414</t>
  </si>
  <si>
    <t>#68941C</t>
  </si>
  <si>
    <t>#80A82C</t>
  </si>
  <si>
    <t>#A4A400</t>
  </si>
  <si>
    <t>#C1C100</t>
  </si>
  <si>
    <t>#D7D700</t>
  </si>
  <si>
    <t>#FFFF00</t>
  </si>
  <si>
    <t>#FFFF20</t>
  </si>
  <si>
    <t>#FFFF40</t>
  </si>
  <si>
    <t>#FFFF80</t>
  </si>
  <si>
    <t>#FFFFAC</t>
  </si>
  <si>
    <t>#200400</t>
  </si>
  <si>
    <t>#401408</t>
  </si>
  <si>
    <t>#541C10</t>
  </si>
  <si>
    <t>#6C2C1C</t>
  </si>
  <si>
    <t>#803828</t>
  </si>
  <si>
    <t>#944838</t>
  </si>
  <si>
    <t>#A85C4C</t>
  </si>
  <si>
    <t>#B86C58</t>
  </si>
  <si>
    <t>#600800</t>
  </si>
  <si>
    <t>#701000</t>
  </si>
  <si>
    <t>#782008</t>
  </si>
  <si>
    <t>#8A4010</t>
  </si>
  <si>
    <t>#9C4820</t>
  </si>
  <si>
    <t>#AE6030</t>
  </si>
  <si>
    <t>#C08040</t>
  </si>
  <si>
    <t>#202000</t>
  </si>
  <si>
    <t>#404000</t>
  </si>
  <si>
    <t>#606000</t>
  </si>
  <si>
    <t>#808000</t>
  </si>
  <si>
    <t>#909000</t>
  </si>
  <si>
    <t>#ACAC00</t>
  </si>
  <si>
    <t>#C0C000</t>
  </si>
  <si>
    <t>#E0E000</t>
  </si>
  <si>
    <t>#406008</t>
  </si>
  <si>
    <t>#506C20</t>
  </si>
  <si>
    <t>#607830</t>
  </si>
  <si>
    <t>#709038</t>
  </si>
  <si>
    <t>#80AC40</t>
  </si>
  <si>
    <t>#96D244</t>
  </si>
  <si>
    <t>#ACEE50</t>
  </si>
  <si>
    <t>#C0FF60</t>
  </si>
  <si>
    <t>#202020</t>
  </si>
  <si>
    <t>#303030</t>
  </si>
  <si>
    <t>#404040</t>
  </si>
  <si>
    <t>#505050</t>
  </si>
  <si>
    <t>#606060</t>
  </si>
  <si>
    <t>#ACACAC</t>
  </si>
  <si>
    <t>#ECECEC</t>
  </si>
  <si>
    <t>#FFFFFF</t>
  </si>
  <si>
    <t>#292936</t>
  </si>
  <si>
    <t>#3C2D46</t>
  </si>
  <si>
    <t>#4B3E6C</t>
  </si>
  <si>
    <t>#5F4D88</t>
  </si>
  <si>
    <t>#716996</t>
  </si>
  <si>
    <t>#8778B0</t>
  </si>
  <si>
    <t>#A591DA</t>
  </si>
  <si>
    <t>#C6BFE8</t>
  </si>
  <si>
    <t>家具工場</t>
    <rPh sb="0" eb="2">
      <t>カグ</t>
    </rPh>
    <rPh sb="2" eb="4">
      <t>コウジョウ</t>
    </rPh>
    <phoneticPr fontId="1"/>
  </si>
  <si>
    <t>Land</t>
    <phoneticPr fontId="1"/>
  </si>
  <si>
    <t>色コード</t>
    <rPh sb="0" eb="1">
      <t>イロ</t>
    </rPh>
    <phoneticPr fontId="1"/>
  </si>
  <si>
    <t>家具量販店</t>
    <rPh sb="0" eb="2">
      <t>カグ</t>
    </rPh>
    <rPh sb="2" eb="5">
      <t>リョウハンテン</t>
    </rPh>
    <phoneticPr fontId="1"/>
  </si>
  <si>
    <t>City</t>
    <phoneticPr fontId="1"/>
  </si>
  <si>
    <t>家具量販店</t>
    <rPh sb="0" eb="2">
      <t>カグ</t>
    </rPh>
    <rPh sb="2" eb="5">
      <t>リョウハンテン</t>
    </rPh>
    <phoneticPr fontId="1"/>
  </si>
  <si>
    <t>バイオマス発電所</t>
    <rPh sb="5" eb="8">
      <t>ハツ</t>
    </rPh>
    <phoneticPr fontId="1"/>
  </si>
  <si>
    <t>バイオマス発電所</t>
    <rPh sb="5" eb="8">
      <t>ハツデンショ</t>
    </rPh>
    <phoneticPr fontId="1"/>
  </si>
  <si>
    <t>Land</t>
    <phoneticPr fontId="1"/>
  </si>
  <si>
    <t>清掃工場</t>
    <rPh sb="0" eb="2">
      <t>セイソウ</t>
    </rPh>
    <rPh sb="2" eb="4">
      <t>コウジョウ</t>
    </rPh>
    <phoneticPr fontId="1"/>
  </si>
  <si>
    <t>清掃工場</t>
    <rPh sb="0" eb="2">
      <t>セイソウ</t>
    </rPh>
    <rPh sb="2" eb="4">
      <t>コウジョウ</t>
    </rPh>
    <phoneticPr fontId="1"/>
  </si>
  <si>
    <t>新聞社</t>
    <rPh sb="0" eb="3">
      <t>シンブンシャ</t>
    </rPh>
    <phoneticPr fontId="1"/>
  </si>
  <si>
    <t>新聞販売店</t>
    <rPh sb="0" eb="5">
      <t>シンブンハンバイテン</t>
    </rPh>
    <phoneticPr fontId="1"/>
  </si>
  <si>
    <t>新聞販売店（1910）</t>
    <rPh sb="0" eb="5">
      <t>シンブンハンバイテン</t>
    </rPh>
    <phoneticPr fontId="1"/>
  </si>
  <si>
    <t>新聞販売店（1960）</t>
    <rPh sb="0" eb="5">
      <t>シンブンハンバイテン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</si>
</sst>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BIZ UDゴシック"/>
      <family val="3"/>
      <charset val="128"/>
    </font>
    <font>
      <sz val="11"/>
      <name val="Yu Gothic"/>
      <family val="2"/>
      <scheme val="minor"/>
    </font>
    <font>
      <sz val="11"/>
      <name val="Yu Gothic"/>
      <family val="3"/>
      <charset val="128"/>
      <scheme val="minor"/>
    </font>
  </fonts>
  <fills count="224">
    <fill>
      <patternFill patternType="none"/>
    </fill>
    <fill>
      <patternFill patternType="gray125"/>
    </fill>
    <fill>
      <patternFill patternType="solid">
        <fgColor rgb="FF244B67"/>
        <bgColor indexed="64"/>
      </patternFill>
    </fill>
    <fill>
      <patternFill patternType="solid">
        <fgColor rgb="FF395E7C"/>
        <bgColor indexed="64"/>
      </patternFill>
    </fill>
    <fill>
      <patternFill patternType="solid">
        <fgColor rgb="FF4C7191"/>
        <bgColor indexed="64"/>
      </patternFill>
    </fill>
    <fill>
      <patternFill patternType="solid">
        <fgColor rgb="FF6084A7"/>
        <bgColor indexed="64"/>
      </patternFill>
    </fill>
    <fill>
      <patternFill patternType="solid">
        <fgColor rgb="FF7497BD"/>
        <bgColor indexed="64"/>
      </patternFill>
    </fill>
    <fill>
      <patternFill patternType="solid">
        <fgColor rgb="FF88ABD3"/>
        <bgColor indexed="64"/>
      </patternFill>
    </fill>
    <fill>
      <patternFill patternType="solid">
        <fgColor rgb="FF9CBEE9"/>
        <bgColor indexed="64"/>
      </patternFill>
    </fill>
    <fill>
      <patternFill patternType="solid">
        <fgColor rgb="FFB0D2FF"/>
        <bgColor indexed="64"/>
      </patternFill>
    </fill>
    <fill>
      <patternFill patternType="solid">
        <fgColor rgb="FF585858"/>
        <bgColor indexed="64"/>
      </patternFill>
    </fill>
    <fill>
      <patternFill patternType="solid">
        <fgColor rgb="FF6B6B6B"/>
        <bgColor indexed="64"/>
      </patternFill>
    </fill>
    <fill>
      <patternFill patternType="solid">
        <fgColor rgb="FF7D7D7D"/>
        <bgColor indexed="64"/>
      </patternFill>
    </fill>
    <fill>
      <patternFill patternType="solid">
        <fgColor rgb="FF909090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rgb="FFB5B5B5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113785"/>
        <bgColor indexed="64"/>
      </patternFill>
    </fill>
    <fill>
      <patternFill patternType="solid">
        <fgColor rgb="FF1B4796"/>
        <bgColor indexed="64"/>
      </patternFill>
    </fill>
    <fill>
      <patternFill patternType="solid">
        <fgColor rgb="FF2556A7"/>
        <bgColor indexed="64"/>
      </patternFill>
    </fill>
    <fill>
      <patternFill patternType="solid">
        <fgColor rgb="FF3066B9"/>
        <bgColor indexed="64"/>
      </patternFill>
    </fill>
    <fill>
      <patternFill patternType="solid">
        <fgColor rgb="FF3A75CA"/>
        <bgColor indexed="64"/>
      </patternFill>
    </fill>
    <fill>
      <patternFill patternType="solid">
        <fgColor rgb="FF4585DC"/>
        <bgColor indexed="64"/>
      </patternFill>
    </fill>
    <fill>
      <patternFill patternType="solid">
        <fgColor rgb="FF4F95ED"/>
        <bgColor indexed="64"/>
      </patternFill>
    </fill>
    <fill>
      <patternFill patternType="solid">
        <fgColor rgb="FF5AA5FF"/>
        <bgColor indexed="64"/>
      </patternFill>
    </fill>
    <fill>
      <patternFill patternType="solid">
        <fgColor rgb="FF7B5803"/>
        <bgColor indexed="64"/>
      </patternFill>
    </fill>
    <fill>
      <patternFill patternType="solid">
        <fgColor rgb="FF8E6F04"/>
        <bgColor indexed="64"/>
      </patternFill>
    </fill>
    <fill>
      <patternFill patternType="solid">
        <fgColor rgb="FFA18605"/>
        <bgColor indexed="64"/>
      </patternFill>
    </fill>
    <fill>
      <patternFill patternType="solid">
        <fgColor rgb="FFB49D07"/>
        <bgColor indexed="64"/>
      </patternFill>
    </fill>
    <fill>
      <patternFill patternType="solid">
        <fgColor rgb="FFC6B408"/>
        <bgColor indexed="64"/>
      </patternFill>
    </fill>
    <fill>
      <patternFill patternType="solid">
        <fgColor rgb="FFD9CB0A"/>
        <bgColor indexed="64"/>
      </patternFill>
    </fill>
    <fill>
      <patternFill patternType="solid">
        <fgColor rgb="FFECE20B"/>
        <bgColor indexed="64"/>
      </patternFill>
    </fill>
    <fill>
      <patternFill patternType="solid">
        <fgColor rgb="FFFFF90D"/>
        <bgColor indexed="64"/>
      </patternFill>
    </fill>
    <fill>
      <patternFill patternType="solid">
        <fgColor rgb="FF56200E"/>
        <bgColor indexed="64"/>
      </patternFill>
    </fill>
    <fill>
      <patternFill patternType="solid">
        <fgColor rgb="FF6E2810"/>
        <bgColor indexed="64"/>
      </patternFill>
    </fill>
    <fill>
      <patternFill patternType="solid">
        <fgColor rgb="FF863012"/>
        <bgColor indexed="64"/>
      </patternFill>
    </fill>
    <fill>
      <patternFill patternType="solid">
        <fgColor rgb="FF9E3914"/>
        <bgColor indexed="64"/>
      </patternFill>
    </fill>
    <fill>
      <patternFill patternType="solid">
        <fgColor rgb="FFB64116"/>
        <bgColor indexed="64"/>
      </patternFill>
    </fill>
    <fill>
      <patternFill patternType="solid">
        <fgColor rgb="FFCE4A18"/>
        <bgColor indexed="64"/>
      </patternFill>
    </fill>
    <fill>
      <patternFill patternType="solid">
        <fgColor rgb="FFE6521A"/>
        <bgColor indexed="64"/>
      </patternFill>
    </fill>
    <fill>
      <patternFill patternType="solid">
        <fgColor rgb="FFFF5B1C"/>
        <bgColor indexed="64"/>
      </patternFill>
    </fill>
    <fill>
      <patternFill patternType="solid">
        <fgColor rgb="FF223B0A"/>
        <bgColor indexed="64"/>
      </patternFill>
    </fill>
    <fill>
      <patternFill patternType="solid">
        <fgColor rgb="FF2C500E"/>
        <bgColor indexed="64"/>
      </patternFill>
    </fill>
    <fill>
      <patternFill patternType="solid">
        <fgColor rgb="FF356512"/>
        <bgColor indexed="64"/>
      </patternFill>
    </fill>
    <fill>
      <patternFill patternType="solid">
        <fgColor rgb="FF3F7A16"/>
        <bgColor indexed="64"/>
      </patternFill>
    </fill>
    <fill>
      <patternFill patternType="solid">
        <fgColor rgb="FF4D8F1D"/>
        <bgColor indexed="64"/>
      </patternFill>
    </fill>
    <fill>
      <patternFill patternType="solid">
        <fgColor rgb="FF5CA425"/>
        <bgColor indexed="64"/>
      </patternFill>
    </fill>
    <fill>
      <patternFill patternType="solid">
        <fgColor rgb="FF6AB92C"/>
        <bgColor indexed="64"/>
      </patternFill>
    </fill>
    <fill>
      <patternFill patternType="solid">
        <fgColor rgb="FF79CF34"/>
        <bgColor indexed="64"/>
      </patternFill>
    </fill>
    <fill>
      <patternFill patternType="solid">
        <fgColor rgb="FF00564E"/>
        <bgColor indexed="64"/>
      </patternFill>
    </fill>
    <fill>
      <patternFill patternType="solid">
        <fgColor rgb="FF006C62"/>
        <bgColor indexed="64"/>
      </patternFill>
    </fill>
    <fill>
      <patternFill patternType="solid">
        <fgColor rgb="FF008276"/>
        <bgColor indexed="64"/>
      </patternFill>
    </fill>
    <fill>
      <patternFill patternType="solid">
        <fgColor rgb="FF00988A"/>
        <bgColor indexed="64"/>
      </patternFill>
    </fill>
    <fill>
      <patternFill patternType="solid">
        <fgColor rgb="FF00AE9E"/>
        <bgColor indexed="64"/>
      </patternFill>
    </fill>
    <fill>
      <patternFill patternType="solid">
        <fgColor rgb="FF00C4B2"/>
        <bgColor indexed="64"/>
      </patternFill>
    </fill>
    <fill>
      <patternFill patternType="solid">
        <fgColor rgb="FF00DAC6"/>
        <bgColor indexed="64"/>
      </patternFill>
    </fill>
    <fill>
      <patternFill patternType="solid">
        <fgColor rgb="FF00F1DB"/>
        <bgColor indexed="64"/>
      </patternFill>
    </fill>
    <fill>
      <patternFill patternType="solid">
        <fgColor rgb="FF4A077A"/>
        <bgColor indexed="64"/>
      </patternFill>
    </fill>
    <fill>
      <patternFill patternType="solid">
        <fgColor rgb="FF5F158B"/>
        <bgColor indexed="64"/>
      </patternFill>
    </fill>
    <fill>
      <patternFill patternType="solid">
        <fgColor rgb="FF74259C"/>
        <bgColor indexed="64"/>
      </patternFill>
    </fill>
    <fill>
      <patternFill patternType="solid">
        <fgColor rgb="FF8A35AD"/>
        <bgColor indexed="64"/>
      </patternFill>
    </fill>
    <fill>
      <patternFill patternType="solid">
        <fgColor rgb="FFA045BF"/>
        <bgColor indexed="64"/>
      </patternFill>
    </fill>
    <fill>
      <patternFill patternType="solid">
        <fgColor rgb="FFB555D0"/>
        <bgColor indexed="64"/>
      </patternFill>
    </fill>
    <fill>
      <patternFill patternType="solid">
        <fgColor rgb="FFCB65E1"/>
        <bgColor indexed="64"/>
      </patternFill>
    </fill>
    <fill>
      <patternFill patternType="solid">
        <fgColor rgb="FFE175F3"/>
        <bgColor indexed="64"/>
      </patternFill>
    </fill>
    <fill>
      <patternFill patternType="solid">
        <fgColor rgb="FF3B2900"/>
        <bgColor indexed="64"/>
      </patternFill>
    </fill>
    <fill>
      <patternFill patternType="solid">
        <fgColor rgb="FF533700"/>
        <bgColor indexed="64"/>
      </patternFill>
    </fill>
    <fill>
      <patternFill patternType="solid">
        <fgColor rgb="FF6B4500"/>
        <bgColor indexed="64"/>
      </patternFill>
    </fill>
    <fill>
      <patternFill patternType="solid">
        <fgColor rgb="FF835400"/>
        <bgColor indexed="64"/>
      </patternFill>
    </fill>
    <fill>
      <patternFill patternType="solid">
        <fgColor rgb="FF9B6200"/>
        <bgColor indexed="64"/>
      </patternFill>
    </fill>
    <fill>
      <patternFill patternType="solid">
        <fgColor rgb="FFB37100"/>
        <bgColor indexed="64"/>
      </patternFill>
    </fill>
    <fill>
      <patternFill patternType="solid">
        <fgColor rgb="FFCB8000"/>
        <bgColor indexed="64"/>
      </patternFill>
    </fill>
    <fill>
      <patternFill patternType="solid">
        <fgColor rgb="FFE38F00"/>
        <bgColor indexed="64"/>
      </patternFill>
    </fill>
    <fill>
      <patternFill patternType="solid">
        <fgColor rgb="FF57002B"/>
        <bgColor indexed="64"/>
      </patternFill>
    </fill>
    <fill>
      <patternFill patternType="solid">
        <fgColor rgb="FF6F0B45"/>
        <bgColor indexed="64"/>
      </patternFill>
    </fill>
    <fill>
      <patternFill patternType="solid">
        <fgColor rgb="FF871C5C"/>
        <bgColor indexed="64"/>
      </patternFill>
    </fill>
    <fill>
      <patternFill patternType="solid">
        <fgColor rgb="FF9F2D73"/>
        <bgColor indexed="64"/>
      </patternFill>
    </fill>
    <fill>
      <patternFill patternType="solid">
        <fgColor rgb="FFB73E8A"/>
        <bgColor indexed="64"/>
      </patternFill>
    </fill>
    <fill>
      <patternFill patternType="solid">
        <fgColor rgb="FFE64AAE"/>
        <bgColor indexed="64"/>
      </patternFill>
    </fill>
    <fill>
      <patternFill patternType="solid">
        <fgColor rgb="FFF579C2"/>
        <bgColor indexed="64"/>
      </patternFill>
    </fill>
    <fill>
      <patternFill patternType="solid">
        <fgColor rgb="FFFF9CD1"/>
        <bgColor indexed="64"/>
      </patternFill>
    </fill>
    <fill>
      <patternFill patternType="solid">
        <fgColor rgb="FF14300A"/>
        <bgColor indexed="64"/>
      </patternFill>
    </fill>
    <fill>
      <patternFill patternType="solid">
        <fgColor rgb="FF2C4A1C"/>
        <bgColor indexed="64"/>
      </patternFill>
    </fill>
    <fill>
      <patternFill patternType="solid">
        <fgColor rgb="FF44632D"/>
        <bgColor indexed="64"/>
      </patternFill>
    </fill>
    <fill>
      <patternFill patternType="solid">
        <fgColor rgb="FF5D7C3E"/>
        <bgColor indexed="64"/>
      </patternFill>
    </fill>
    <fill>
      <patternFill patternType="solid">
        <fgColor rgb="FF76954F"/>
        <bgColor indexed="64"/>
      </patternFill>
    </fill>
    <fill>
      <patternFill patternType="solid">
        <fgColor rgb="FF8FAE60"/>
        <bgColor indexed="64"/>
      </patternFill>
    </fill>
    <fill>
      <patternFill patternType="solid">
        <fgColor rgb="FFA8C771"/>
        <bgColor indexed="64"/>
      </patternFill>
    </fill>
    <fill>
      <patternFill patternType="solid">
        <fgColor rgb="FFC1E182"/>
        <bgColor indexed="64"/>
      </patternFill>
    </fill>
    <fill>
      <patternFill patternType="solid">
        <fgColor rgb="FF36131D"/>
        <bgColor indexed="64"/>
      </patternFill>
    </fill>
    <fill>
      <patternFill patternType="solid">
        <fgColor rgb="FF522C2C"/>
        <bgColor indexed="64"/>
      </patternFill>
    </fill>
    <fill>
      <patternFill patternType="solid">
        <fgColor rgb="FF6E453A"/>
        <bgColor indexed="64"/>
      </patternFill>
    </fill>
    <fill>
      <patternFill patternType="solid">
        <fgColor rgb="FF8B5F48"/>
        <bgColor indexed="64"/>
      </patternFill>
    </fill>
    <fill>
      <patternFill patternType="solid">
        <fgColor rgb="FFA87956"/>
        <bgColor indexed="64"/>
      </patternFill>
    </fill>
    <fill>
      <patternFill patternType="solid">
        <fgColor rgb="FFC59365"/>
        <bgColor indexed="64"/>
      </patternFill>
    </fill>
    <fill>
      <patternFill patternType="solid">
        <fgColor rgb="FFE2AD73"/>
        <bgColor indexed="64"/>
      </patternFill>
    </fill>
    <fill>
      <patternFill patternType="solid">
        <fgColor rgb="FFFFC782"/>
        <bgColor indexed="64"/>
      </patternFill>
    </fill>
    <fill>
      <patternFill patternType="solid">
        <fgColor rgb="FF080B64"/>
        <bgColor indexed="64"/>
      </patternFill>
    </fill>
    <fill>
      <patternFill patternType="solid">
        <fgColor rgb="FF0E1674"/>
        <bgColor indexed="64"/>
      </patternFill>
    </fill>
    <fill>
      <patternFill patternType="solid">
        <fgColor rgb="FF14218B"/>
        <bgColor indexed="64"/>
      </patternFill>
    </fill>
    <fill>
      <patternFill patternType="solid">
        <fgColor rgb="FF1A2CA2"/>
        <bgColor indexed="64"/>
      </patternFill>
    </fill>
    <fill>
      <patternFill patternType="solid">
        <fgColor rgb="FF294AB9"/>
        <bgColor indexed="64"/>
      </patternFill>
    </fill>
    <fill>
      <patternFill patternType="solid">
        <fgColor rgb="FF3968D0"/>
        <bgColor indexed="64"/>
      </patternFill>
    </fill>
    <fill>
      <patternFill patternType="solid">
        <fgColor rgb="FF4C84E7"/>
        <bgColor indexed="64"/>
      </patternFill>
    </fill>
    <fill>
      <patternFill patternType="solid">
        <fgColor rgb="FF60A0FF"/>
        <bgColor indexed="64"/>
      </patternFill>
    </fill>
    <fill>
      <patternFill patternType="solid">
        <fgColor rgb="FF2B1E2E"/>
        <bgColor indexed="64"/>
      </patternFill>
    </fill>
    <fill>
      <patternFill patternType="solid">
        <fgColor rgb="FF443255"/>
        <bgColor indexed="64"/>
      </patternFill>
    </fill>
    <fill>
      <patternFill patternType="solid">
        <fgColor rgb="FF5D466E"/>
        <bgColor indexed="64"/>
      </patternFill>
    </fill>
    <fill>
      <patternFill patternType="solid">
        <fgColor rgb="FF765B82"/>
        <bgColor indexed="64"/>
      </patternFill>
    </fill>
    <fill>
      <patternFill patternType="solid">
        <fgColor rgb="FF8F6FAA"/>
        <bgColor indexed="64"/>
      </patternFill>
    </fill>
    <fill>
      <patternFill patternType="solid">
        <fgColor rgb="FFA884BE"/>
        <bgColor indexed="64"/>
      </patternFill>
    </fill>
    <fill>
      <patternFill patternType="solid">
        <fgColor rgb="FFC199D2"/>
        <bgColor indexed="64"/>
      </patternFill>
    </fill>
    <fill>
      <patternFill patternType="solid">
        <fgColor rgb="FFDBAEE6"/>
        <bgColor indexed="64"/>
      </patternFill>
    </fill>
    <fill>
      <patternFill patternType="solid">
        <fgColor rgb="FF3F120C"/>
        <bgColor indexed="64"/>
      </patternFill>
    </fill>
    <fill>
      <patternFill patternType="solid">
        <fgColor rgb="FF5A261E"/>
        <bgColor indexed="64"/>
      </patternFill>
    </fill>
    <fill>
      <patternFill patternType="solid">
        <fgColor rgb="FF753A2A"/>
        <bgColor indexed="64"/>
      </patternFill>
    </fill>
    <fill>
      <patternFill patternType="solid">
        <fgColor rgb="FF914E37"/>
        <bgColor indexed="64"/>
      </patternFill>
    </fill>
    <fill>
      <patternFill patternType="solid">
        <fgColor rgb="FFAC6243"/>
        <bgColor indexed="64"/>
      </patternFill>
    </fill>
    <fill>
      <patternFill patternType="solid">
        <fgColor rgb="FFC87650"/>
        <bgColor indexed="64"/>
      </patternFill>
    </fill>
    <fill>
      <patternFill patternType="solid">
        <fgColor rgb="FFE38A5C"/>
        <bgColor indexed="64"/>
      </patternFill>
    </fill>
    <fill>
      <patternFill patternType="solid">
        <fgColor rgb="FFFF9F69"/>
        <bgColor indexed="64"/>
      </patternFill>
    </fill>
    <fill>
      <patternFill patternType="solid">
        <fgColor rgb="FF0B441E"/>
        <bgColor indexed="64"/>
      </patternFill>
    </fill>
    <fill>
      <patternFill patternType="solid">
        <fgColor rgb="FF215E38"/>
        <bgColor indexed="64"/>
      </patternFill>
    </fill>
    <fill>
      <patternFill patternType="solid">
        <fgColor rgb="FF367851"/>
        <bgColor indexed="64"/>
      </patternFill>
    </fill>
    <fill>
      <patternFill patternType="solid">
        <fgColor rgb="FF4C936A"/>
        <bgColor indexed="64"/>
      </patternFill>
    </fill>
    <fill>
      <patternFill patternType="solid">
        <fgColor rgb="FF62AE83"/>
        <bgColor indexed="64"/>
      </patternFill>
    </fill>
    <fill>
      <patternFill patternType="solid">
        <fgColor rgb="FF78C99C"/>
        <bgColor indexed="64"/>
      </patternFill>
    </fill>
    <fill>
      <patternFill patternType="solid">
        <fgColor rgb="FF8EE4B5"/>
        <bgColor indexed="64"/>
      </patternFill>
    </fill>
    <fill>
      <patternFill patternType="solid">
        <fgColor rgb="FFA4FFCF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6000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4040"/>
        <bgColor indexed="64"/>
      </patternFill>
    </fill>
    <fill>
      <patternFill patternType="solid">
        <fgColor rgb="FFFF606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C400"/>
        <bgColor indexed="64"/>
      </patternFill>
    </fill>
    <fill>
      <patternFill patternType="solid">
        <fgColor rgb="FF00E100"/>
        <bgColor indexed="64"/>
      </patternFill>
    </fill>
    <fill>
      <patternFill patternType="solid">
        <fgColor rgb="FF00F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40FF40"/>
        <bgColor indexed="64"/>
      </patternFill>
    </fill>
    <fill>
      <patternFill patternType="solid">
        <fgColor rgb="FF5EFF5E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0000C0"/>
        <bgColor indexed="64"/>
      </patternFill>
    </fill>
    <fill>
      <patternFill patternType="solid">
        <fgColor rgb="FF0000E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40FF"/>
        <bgColor indexed="64"/>
      </patternFill>
    </fill>
    <fill>
      <patternFill patternType="solid">
        <fgColor rgb="FF005EFF"/>
        <bgColor indexed="64"/>
      </patternFill>
    </fill>
    <fill>
      <patternFill patternType="solid">
        <fgColor rgb="FF006AFF"/>
        <bgColor indexed="64"/>
      </patternFill>
    </fill>
    <fill>
      <patternFill patternType="solid">
        <fgColor rgb="FF0080FF"/>
        <bgColor indexed="64"/>
      </patternFill>
    </fill>
    <fill>
      <patternFill patternType="solid">
        <fgColor rgb="FF804000"/>
        <bgColor indexed="64"/>
      </patternFill>
    </fill>
    <fill>
      <patternFill patternType="solid">
        <fgColor rgb="FFC16100"/>
        <bgColor indexed="64"/>
      </patternFill>
    </fill>
    <fill>
      <patternFill patternType="solid">
        <fgColor rgb="FFD76B00"/>
        <bgColor indexed="64"/>
      </patternFill>
    </fill>
    <fill>
      <patternFill patternType="solid">
        <fgColor rgb="FFFF8000"/>
        <bgColor indexed="64"/>
      </patternFill>
    </fill>
    <fill>
      <patternFill patternType="solid">
        <fgColor rgb="FFFF952B"/>
        <bgColor indexed="64"/>
      </patternFill>
    </fill>
    <fill>
      <patternFill patternType="solid">
        <fgColor rgb="FFFFAA55"/>
        <bgColor indexed="64"/>
      </patternFill>
    </fill>
    <fill>
      <patternFill patternType="solid">
        <fgColor rgb="FFFFC184"/>
        <bgColor indexed="64"/>
      </patternFill>
    </fill>
    <fill>
      <patternFill patternType="solid">
        <fgColor rgb="FF083400"/>
        <bgColor indexed="64"/>
      </patternFill>
    </fill>
    <fill>
      <patternFill patternType="solid">
        <fgColor rgb="FF104000"/>
        <bgColor indexed="64"/>
      </patternFill>
    </fill>
    <fill>
      <patternFill patternType="solid">
        <fgColor rgb="FF205004"/>
        <bgColor indexed="64"/>
      </patternFill>
    </fill>
    <fill>
      <patternFill patternType="solid">
        <fgColor rgb="FF306004"/>
        <bgColor indexed="64"/>
      </patternFill>
    </fill>
    <fill>
      <patternFill patternType="solid">
        <fgColor rgb="FF40700C"/>
        <bgColor indexed="64"/>
      </patternFill>
    </fill>
    <fill>
      <patternFill patternType="solid">
        <fgColor rgb="FF548414"/>
        <bgColor indexed="64"/>
      </patternFill>
    </fill>
    <fill>
      <patternFill patternType="solid">
        <fgColor rgb="FF68941C"/>
        <bgColor indexed="64"/>
      </patternFill>
    </fill>
    <fill>
      <patternFill patternType="solid">
        <fgColor rgb="FF80A82C"/>
        <bgColor indexed="64"/>
      </patternFill>
    </fill>
    <fill>
      <patternFill patternType="solid">
        <fgColor rgb="FFA4A400"/>
        <bgColor indexed="64"/>
      </patternFill>
    </fill>
    <fill>
      <patternFill patternType="solid">
        <fgColor rgb="FFC1C100"/>
        <bgColor indexed="64"/>
      </patternFill>
    </fill>
    <fill>
      <patternFill patternType="solid">
        <fgColor rgb="FFD7D7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20"/>
        <bgColor indexed="64"/>
      </patternFill>
    </fill>
    <fill>
      <patternFill patternType="solid">
        <fgColor rgb="FFFFFF40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FFAC"/>
        <bgColor indexed="64"/>
      </patternFill>
    </fill>
    <fill>
      <patternFill patternType="solid">
        <fgColor rgb="FF200400"/>
        <bgColor indexed="64"/>
      </patternFill>
    </fill>
    <fill>
      <patternFill patternType="solid">
        <fgColor rgb="FF401408"/>
        <bgColor indexed="64"/>
      </patternFill>
    </fill>
    <fill>
      <patternFill patternType="solid">
        <fgColor rgb="FF541C10"/>
        <bgColor indexed="64"/>
      </patternFill>
    </fill>
    <fill>
      <patternFill patternType="solid">
        <fgColor rgb="FF6C2C1C"/>
        <bgColor indexed="64"/>
      </patternFill>
    </fill>
    <fill>
      <patternFill patternType="solid">
        <fgColor rgb="FF803828"/>
        <bgColor indexed="64"/>
      </patternFill>
    </fill>
    <fill>
      <patternFill patternType="solid">
        <fgColor rgb="FF944838"/>
        <bgColor indexed="64"/>
      </patternFill>
    </fill>
    <fill>
      <patternFill patternType="solid">
        <fgColor rgb="FFA85C4C"/>
        <bgColor indexed="64"/>
      </patternFill>
    </fill>
    <fill>
      <patternFill patternType="solid">
        <fgColor rgb="FFB86C58"/>
        <bgColor indexed="64"/>
      </patternFill>
    </fill>
    <fill>
      <patternFill patternType="solid">
        <fgColor rgb="FF600800"/>
        <bgColor indexed="64"/>
      </patternFill>
    </fill>
    <fill>
      <patternFill patternType="solid">
        <fgColor rgb="FF701000"/>
        <bgColor indexed="64"/>
      </patternFill>
    </fill>
    <fill>
      <patternFill patternType="solid">
        <fgColor rgb="FF782008"/>
        <bgColor indexed="64"/>
      </patternFill>
    </fill>
    <fill>
      <patternFill patternType="solid">
        <fgColor rgb="FF8A4010"/>
        <bgColor indexed="64"/>
      </patternFill>
    </fill>
    <fill>
      <patternFill patternType="solid">
        <fgColor rgb="FF9C4820"/>
        <bgColor indexed="64"/>
      </patternFill>
    </fill>
    <fill>
      <patternFill patternType="solid">
        <fgColor rgb="FFAE6030"/>
        <bgColor indexed="64"/>
      </patternFill>
    </fill>
    <fill>
      <patternFill patternType="solid">
        <fgColor rgb="FFC08040"/>
        <bgColor indexed="64"/>
      </patternFill>
    </fill>
    <fill>
      <patternFill patternType="solid">
        <fgColor rgb="FF202000"/>
        <bgColor indexed="64"/>
      </patternFill>
    </fill>
    <fill>
      <patternFill patternType="solid">
        <fgColor rgb="FF404000"/>
        <bgColor indexed="64"/>
      </patternFill>
    </fill>
    <fill>
      <patternFill patternType="solid">
        <fgColor rgb="FF60600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909000"/>
        <bgColor indexed="64"/>
      </patternFill>
    </fill>
    <fill>
      <patternFill patternType="solid">
        <fgColor rgb="FFACAC00"/>
        <bgColor indexed="64"/>
      </patternFill>
    </fill>
    <fill>
      <patternFill patternType="solid">
        <fgColor rgb="FFC0C000"/>
        <bgColor indexed="64"/>
      </patternFill>
    </fill>
    <fill>
      <patternFill patternType="solid">
        <fgColor rgb="FFE0E000"/>
        <bgColor indexed="64"/>
      </patternFill>
    </fill>
    <fill>
      <patternFill patternType="solid">
        <fgColor rgb="FF406008"/>
        <bgColor indexed="64"/>
      </patternFill>
    </fill>
    <fill>
      <patternFill patternType="solid">
        <fgColor rgb="FF506C20"/>
        <bgColor indexed="64"/>
      </patternFill>
    </fill>
    <fill>
      <patternFill patternType="solid">
        <fgColor rgb="FF607830"/>
        <bgColor indexed="64"/>
      </patternFill>
    </fill>
    <fill>
      <patternFill patternType="solid">
        <fgColor rgb="FF709038"/>
        <bgColor indexed="64"/>
      </patternFill>
    </fill>
    <fill>
      <patternFill patternType="solid">
        <fgColor rgb="FF80AC40"/>
        <bgColor indexed="64"/>
      </patternFill>
    </fill>
    <fill>
      <patternFill patternType="solid">
        <fgColor rgb="FF96D244"/>
        <bgColor indexed="64"/>
      </patternFill>
    </fill>
    <fill>
      <patternFill patternType="solid">
        <fgColor rgb="FFACEE50"/>
        <bgColor indexed="64"/>
      </patternFill>
    </fill>
    <fill>
      <patternFill patternType="solid">
        <fgColor rgb="FFC0FF60"/>
        <bgColor indexed="64"/>
      </patternFill>
    </fill>
    <fill>
      <patternFill patternType="solid">
        <fgColor rgb="FF202020"/>
        <bgColor indexed="64"/>
      </patternFill>
    </fill>
    <fill>
      <patternFill patternType="solid">
        <fgColor rgb="FF30303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505050"/>
        <bgColor indexed="64"/>
      </patternFill>
    </fill>
    <fill>
      <patternFill patternType="solid">
        <fgColor rgb="FF606060"/>
        <bgColor indexed="64"/>
      </patternFill>
    </fill>
    <fill>
      <patternFill patternType="solid">
        <fgColor rgb="FFACACAC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92936"/>
        <bgColor indexed="64"/>
      </patternFill>
    </fill>
    <fill>
      <patternFill patternType="solid">
        <fgColor rgb="FF3C2D46"/>
        <bgColor indexed="64"/>
      </patternFill>
    </fill>
    <fill>
      <patternFill patternType="solid">
        <fgColor rgb="FF4B3E6C"/>
        <bgColor indexed="64"/>
      </patternFill>
    </fill>
    <fill>
      <patternFill patternType="solid">
        <fgColor rgb="FF5F4D88"/>
        <bgColor indexed="64"/>
      </patternFill>
    </fill>
    <fill>
      <patternFill patternType="solid">
        <fgColor rgb="FF716996"/>
        <bgColor indexed="64"/>
      </patternFill>
    </fill>
    <fill>
      <patternFill patternType="solid">
        <fgColor rgb="FF8778B0"/>
        <bgColor indexed="64"/>
      </patternFill>
    </fill>
    <fill>
      <patternFill patternType="solid">
        <fgColor rgb="FFA591DA"/>
        <bgColor indexed="64"/>
      </patternFill>
    </fill>
    <fill>
      <patternFill patternType="solid">
        <fgColor rgb="FFC6BFE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8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4" fillId="8" borderId="0" xfId="0" applyFont="1" applyFill="1"/>
    <xf numFmtId="0" fontId="4" fillId="9" borderId="0" xfId="0" applyFont="1" applyFill="1"/>
    <xf numFmtId="0" fontId="4" fillId="10" borderId="0" xfId="0" applyFont="1" applyFill="1"/>
    <xf numFmtId="0" fontId="4" fillId="11" borderId="0" xfId="0" applyFont="1" applyFill="1"/>
    <xf numFmtId="0" fontId="4" fillId="12" borderId="0" xfId="0" applyFont="1" applyFill="1"/>
    <xf numFmtId="0" fontId="4" fillId="13" borderId="0" xfId="0" applyFont="1" applyFill="1"/>
    <xf numFmtId="0" fontId="4" fillId="14" borderId="0" xfId="0" applyFont="1" applyFill="1"/>
    <xf numFmtId="0" fontId="4" fillId="15" borderId="0" xfId="0" applyFont="1" applyFill="1"/>
    <xf numFmtId="0" fontId="4" fillId="16" borderId="0" xfId="0" applyFont="1" applyFill="1"/>
    <xf numFmtId="0" fontId="4" fillId="17" borderId="0" xfId="0" applyFont="1" applyFill="1"/>
    <xf numFmtId="0" fontId="4" fillId="18" borderId="0" xfId="0" applyFont="1" applyFill="1"/>
    <xf numFmtId="0" fontId="4" fillId="19" borderId="0" xfId="0" applyFont="1" applyFill="1"/>
    <xf numFmtId="0" fontId="4" fillId="20" borderId="0" xfId="0" applyFont="1" applyFill="1"/>
    <xf numFmtId="0" fontId="4" fillId="21" borderId="0" xfId="0" applyFont="1" applyFill="1"/>
    <xf numFmtId="0" fontId="4" fillId="22" borderId="0" xfId="0" applyFont="1" applyFill="1"/>
    <xf numFmtId="0" fontId="4" fillId="23" borderId="0" xfId="0" applyFont="1" applyFill="1"/>
    <xf numFmtId="0" fontId="4" fillId="24" borderId="0" xfId="0" applyFont="1" applyFill="1"/>
    <xf numFmtId="0" fontId="4" fillId="25" borderId="0" xfId="0" applyFont="1" applyFill="1"/>
    <xf numFmtId="0" fontId="4" fillId="26" borderId="0" xfId="0" applyFont="1" applyFill="1"/>
    <xf numFmtId="0" fontId="4" fillId="27" borderId="0" xfId="0" applyFont="1" applyFill="1"/>
    <xf numFmtId="0" fontId="4" fillId="28" borderId="0" xfId="0" applyFont="1" applyFill="1"/>
    <xf numFmtId="0" fontId="4" fillId="29" borderId="0" xfId="0" applyFont="1" applyFill="1"/>
    <xf numFmtId="0" fontId="4" fillId="30" borderId="0" xfId="0" applyFont="1" applyFill="1"/>
    <xf numFmtId="0" fontId="4" fillId="31" borderId="0" xfId="0" applyFont="1" applyFill="1"/>
    <xf numFmtId="0" fontId="4" fillId="32" borderId="0" xfId="0" applyFont="1" applyFill="1"/>
    <xf numFmtId="0" fontId="4" fillId="33" borderId="0" xfId="0" applyFont="1" applyFill="1"/>
    <xf numFmtId="0" fontId="4" fillId="34" borderId="0" xfId="0" applyFont="1" applyFill="1"/>
    <xf numFmtId="0" fontId="4" fillId="35" borderId="0" xfId="0" applyFont="1" applyFill="1"/>
    <xf numFmtId="0" fontId="4" fillId="36" borderId="0" xfId="0" applyFont="1" applyFill="1"/>
    <xf numFmtId="0" fontId="4" fillId="37" borderId="0" xfId="0" applyFont="1" applyFill="1"/>
    <xf numFmtId="0" fontId="4" fillId="38" borderId="0" xfId="0" applyFont="1" applyFill="1"/>
    <xf numFmtId="0" fontId="4" fillId="39" borderId="0" xfId="0" applyFont="1" applyFill="1"/>
    <xf numFmtId="0" fontId="4" fillId="40" borderId="0" xfId="0" applyFont="1" applyFill="1"/>
    <xf numFmtId="0" fontId="4" fillId="41" borderId="0" xfId="0" applyFont="1" applyFill="1"/>
    <xf numFmtId="0" fontId="4" fillId="42" borderId="0" xfId="0" applyFont="1" applyFill="1"/>
    <xf numFmtId="0" fontId="4" fillId="43" borderId="0" xfId="0" applyFont="1" applyFill="1"/>
    <xf numFmtId="0" fontId="4" fillId="44" borderId="0" xfId="0" applyFont="1" applyFill="1"/>
    <xf numFmtId="0" fontId="4" fillId="45" borderId="0" xfId="0" applyFont="1" applyFill="1"/>
    <xf numFmtId="0" fontId="4" fillId="46" borderId="0" xfId="0" applyFont="1" applyFill="1"/>
    <xf numFmtId="0" fontId="4" fillId="47" borderId="0" xfId="0" applyFont="1" applyFill="1"/>
    <xf numFmtId="0" fontId="4" fillId="48" borderId="0" xfId="0" applyFont="1" applyFill="1"/>
    <xf numFmtId="0" fontId="4" fillId="49" borderId="0" xfId="0" applyFont="1" applyFill="1"/>
    <xf numFmtId="0" fontId="4" fillId="50" borderId="0" xfId="0" applyFont="1" applyFill="1"/>
    <xf numFmtId="0" fontId="4" fillId="51" borderId="0" xfId="0" applyFont="1" applyFill="1"/>
    <xf numFmtId="0" fontId="4" fillId="52" borderId="0" xfId="0" applyFont="1" applyFill="1"/>
    <xf numFmtId="0" fontId="4" fillId="53" borderId="0" xfId="0" applyFont="1" applyFill="1"/>
    <xf numFmtId="0" fontId="4" fillId="54" borderId="0" xfId="0" applyFont="1" applyFill="1"/>
    <xf numFmtId="0" fontId="4" fillId="55" borderId="0" xfId="0" applyFont="1" applyFill="1"/>
    <xf numFmtId="0" fontId="4" fillId="56" borderId="0" xfId="0" applyFont="1" applyFill="1"/>
    <xf numFmtId="0" fontId="4" fillId="57" borderId="0" xfId="0" applyFont="1" applyFill="1"/>
    <xf numFmtId="0" fontId="4" fillId="58" borderId="0" xfId="0" applyFont="1" applyFill="1"/>
    <xf numFmtId="0" fontId="4" fillId="59" borderId="0" xfId="0" applyFont="1" applyFill="1"/>
    <xf numFmtId="0" fontId="4" fillId="60" borderId="0" xfId="0" applyFont="1" applyFill="1"/>
    <xf numFmtId="0" fontId="4" fillId="61" borderId="0" xfId="0" applyFont="1" applyFill="1"/>
    <xf numFmtId="0" fontId="4" fillId="62" borderId="0" xfId="0" applyFont="1" applyFill="1"/>
    <xf numFmtId="0" fontId="4" fillId="63" borderId="0" xfId="0" applyFont="1" applyFill="1"/>
    <xf numFmtId="0" fontId="4" fillId="64" borderId="0" xfId="0" applyFont="1" applyFill="1"/>
    <xf numFmtId="0" fontId="4" fillId="65" borderId="0" xfId="0" applyFont="1" applyFill="1"/>
    <xf numFmtId="0" fontId="4" fillId="66" borderId="0" xfId="0" applyFont="1" applyFill="1"/>
    <xf numFmtId="0" fontId="4" fillId="67" borderId="0" xfId="0" applyFont="1" applyFill="1"/>
    <xf numFmtId="0" fontId="4" fillId="68" borderId="0" xfId="0" applyFont="1" applyFill="1"/>
    <xf numFmtId="0" fontId="4" fillId="69" borderId="0" xfId="0" applyFont="1" applyFill="1"/>
    <xf numFmtId="0" fontId="4" fillId="70" borderId="0" xfId="0" applyFont="1" applyFill="1"/>
    <xf numFmtId="0" fontId="4" fillId="71" borderId="0" xfId="0" applyFont="1" applyFill="1"/>
    <xf numFmtId="0" fontId="4" fillId="72" borderId="0" xfId="0" applyFont="1" applyFill="1"/>
    <xf numFmtId="0" fontId="4" fillId="73" borderId="0" xfId="0" applyFont="1" applyFill="1"/>
    <xf numFmtId="0" fontId="4" fillId="74" borderId="0" xfId="0" applyFont="1" applyFill="1"/>
    <xf numFmtId="0" fontId="4" fillId="75" borderId="0" xfId="0" applyFont="1" applyFill="1"/>
    <xf numFmtId="0" fontId="4" fillId="76" borderId="0" xfId="0" applyFont="1" applyFill="1"/>
    <xf numFmtId="0" fontId="4" fillId="77" borderId="0" xfId="0" applyFont="1" applyFill="1"/>
    <xf numFmtId="0" fontId="4" fillId="78" borderId="0" xfId="0" applyFont="1" applyFill="1"/>
    <xf numFmtId="0" fontId="4" fillId="79" borderId="0" xfId="0" applyFont="1" applyFill="1"/>
    <xf numFmtId="0" fontId="4" fillId="80" borderId="0" xfId="0" applyFont="1" applyFill="1"/>
    <xf numFmtId="0" fontId="4" fillId="81" borderId="0" xfId="0" applyFont="1" applyFill="1"/>
    <xf numFmtId="0" fontId="4" fillId="82" borderId="0" xfId="0" applyFont="1" applyFill="1"/>
    <xf numFmtId="0" fontId="4" fillId="83" borderId="0" xfId="0" applyFont="1" applyFill="1"/>
    <xf numFmtId="0" fontId="4" fillId="84" borderId="0" xfId="0" applyFont="1" applyFill="1"/>
    <xf numFmtId="0" fontId="4" fillId="85" borderId="0" xfId="0" applyFont="1" applyFill="1"/>
    <xf numFmtId="0" fontId="4" fillId="86" borderId="0" xfId="0" applyFont="1" applyFill="1"/>
    <xf numFmtId="0" fontId="4" fillId="87" borderId="0" xfId="0" applyFont="1" applyFill="1"/>
    <xf numFmtId="0" fontId="4" fillId="88" borderId="0" xfId="0" applyFont="1" applyFill="1"/>
    <xf numFmtId="0" fontId="4" fillId="89" borderId="0" xfId="0" applyFont="1" applyFill="1"/>
    <xf numFmtId="0" fontId="4" fillId="90" borderId="0" xfId="0" applyFont="1" applyFill="1"/>
    <xf numFmtId="0" fontId="4" fillId="91" borderId="0" xfId="0" applyFont="1" applyFill="1"/>
    <xf numFmtId="0" fontId="4" fillId="92" borderId="0" xfId="0" applyFont="1" applyFill="1"/>
    <xf numFmtId="0" fontId="4" fillId="93" borderId="0" xfId="0" applyFont="1" applyFill="1"/>
    <xf numFmtId="0" fontId="4" fillId="94" borderId="0" xfId="0" applyFont="1" applyFill="1"/>
    <xf numFmtId="0" fontId="4" fillId="95" borderId="0" xfId="0" applyFont="1" applyFill="1"/>
    <xf numFmtId="0" fontId="4" fillId="96" borderId="0" xfId="0" applyFont="1" applyFill="1"/>
    <xf numFmtId="0" fontId="4" fillId="97" borderId="0" xfId="0" applyFont="1" applyFill="1"/>
    <xf numFmtId="0" fontId="4" fillId="98" borderId="0" xfId="0" applyFont="1" applyFill="1"/>
    <xf numFmtId="0" fontId="4" fillId="99" borderId="0" xfId="0" applyFont="1" applyFill="1"/>
    <xf numFmtId="0" fontId="4" fillId="100" borderId="0" xfId="0" applyFont="1" applyFill="1"/>
    <xf numFmtId="0" fontId="4" fillId="101" borderId="0" xfId="0" applyFont="1" applyFill="1"/>
    <xf numFmtId="0" fontId="4" fillId="102" borderId="0" xfId="0" applyFont="1" applyFill="1"/>
    <xf numFmtId="0" fontId="4" fillId="103" borderId="0" xfId="0" applyFont="1" applyFill="1"/>
    <xf numFmtId="0" fontId="4" fillId="104" borderId="0" xfId="0" applyFont="1" applyFill="1"/>
    <xf numFmtId="0" fontId="4" fillId="105" borderId="0" xfId="0" applyFont="1" applyFill="1"/>
    <xf numFmtId="0" fontId="4" fillId="106" borderId="0" xfId="0" applyFont="1" applyFill="1"/>
    <xf numFmtId="0" fontId="4" fillId="107" borderId="0" xfId="0" applyFont="1" applyFill="1"/>
    <xf numFmtId="0" fontId="4" fillId="108" borderId="0" xfId="0" applyFont="1" applyFill="1"/>
    <xf numFmtId="0" fontId="4" fillId="109" borderId="0" xfId="0" applyFont="1" applyFill="1"/>
    <xf numFmtId="0" fontId="4" fillId="110" borderId="0" xfId="0" applyFont="1" applyFill="1"/>
    <xf numFmtId="0" fontId="4" fillId="111" borderId="0" xfId="0" applyFont="1" applyFill="1"/>
    <xf numFmtId="0" fontId="4" fillId="112" borderId="0" xfId="0" applyFont="1" applyFill="1"/>
    <xf numFmtId="0" fontId="4" fillId="113" borderId="0" xfId="0" applyFont="1" applyFill="1"/>
    <xf numFmtId="0" fontId="4" fillId="114" borderId="0" xfId="0" applyFont="1" applyFill="1"/>
    <xf numFmtId="0" fontId="4" fillId="115" borderId="0" xfId="0" applyFont="1" applyFill="1"/>
    <xf numFmtId="0" fontId="4" fillId="116" borderId="0" xfId="0" applyFont="1" applyFill="1"/>
    <xf numFmtId="0" fontId="4" fillId="117" borderId="0" xfId="0" applyFont="1" applyFill="1"/>
    <xf numFmtId="0" fontId="4" fillId="118" borderId="0" xfId="0" applyFont="1" applyFill="1"/>
    <xf numFmtId="0" fontId="4" fillId="119" borderId="0" xfId="0" applyFont="1" applyFill="1"/>
    <xf numFmtId="0" fontId="4" fillId="120" borderId="0" xfId="0" applyFont="1" applyFill="1"/>
    <xf numFmtId="0" fontId="4" fillId="121" borderId="0" xfId="0" applyFont="1" applyFill="1"/>
    <xf numFmtId="0" fontId="4" fillId="122" borderId="0" xfId="0" applyFont="1" applyFill="1"/>
    <xf numFmtId="0" fontId="4" fillId="123" borderId="0" xfId="0" applyFont="1" applyFill="1"/>
    <xf numFmtId="0" fontId="4" fillId="124" borderId="0" xfId="0" applyFont="1" applyFill="1"/>
    <xf numFmtId="0" fontId="4" fillId="125" borderId="0" xfId="0" applyFont="1" applyFill="1"/>
    <xf numFmtId="0" fontId="4" fillId="126" borderId="0" xfId="0" applyFont="1" applyFill="1"/>
    <xf numFmtId="0" fontId="4" fillId="127" borderId="0" xfId="0" applyFont="1" applyFill="1"/>
    <xf numFmtId="0" fontId="4" fillId="128" borderId="0" xfId="0" applyFont="1" applyFill="1"/>
    <xf numFmtId="0" fontId="4" fillId="129" borderId="0" xfId="0" applyFont="1" applyFill="1"/>
    <xf numFmtId="0" fontId="4" fillId="130" borderId="0" xfId="0" applyFont="1" applyFill="1"/>
    <xf numFmtId="0" fontId="4" fillId="131" borderId="0" xfId="0" applyFont="1" applyFill="1"/>
    <xf numFmtId="0" fontId="4" fillId="132" borderId="0" xfId="0" applyFont="1" applyFill="1"/>
    <xf numFmtId="0" fontId="4" fillId="133" borderId="0" xfId="0" applyFont="1" applyFill="1"/>
    <xf numFmtId="0" fontId="4" fillId="134" borderId="0" xfId="0" applyFont="1" applyFill="1"/>
    <xf numFmtId="0" fontId="4" fillId="135" borderId="0" xfId="0" applyFont="1" applyFill="1"/>
    <xf numFmtId="0" fontId="4" fillId="136" borderId="0" xfId="0" applyFont="1" applyFill="1"/>
    <xf numFmtId="0" fontId="4" fillId="137" borderId="0" xfId="0" applyFont="1" applyFill="1"/>
    <xf numFmtId="0" fontId="4" fillId="138" borderId="0" xfId="0" applyFont="1" applyFill="1"/>
    <xf numFmtId="0" fontId="4" fillId="139" borderId="0" xfId="0" applyFont="1" applyFill="1"/>
    <xf numFmtId="0" fontId="4" fillId="140" borderId="0" xfId="0" applyFont="1" applyFill="1"/>
    <xf numFmtId="0" fontId="4" fillId="141" borderId="0" xfId="0" applyFont="1" applyFill="1"/>
    <xf numFmtId="0" fontId="4" fillId="142" borderId="0" xfId="0" applyFont="1" applyFill="1"/>
    <xf numFmtId="0" fontId="4" fillId="143" borderId="0" xfId="0" applyFont="1" applyFill="1"/>
    <xf numFmtId="0" fontId="4" fillId="144" borderId="0" xfId="0" applyFont="1" applyFill="1"/>
    <xf numFmtId="0" fontId="4" fillId="145" borderId="0" xfId="0" applyFont="1" applyFill="1"/>
    <xf numFmtId="0" fontId="4" fillId="146" borderId="0" xfId="0" applyFont="1" applyFill="1"/>
    <xf numFmtId="0" fontId="4" fillId="147" borderId="0" xfId="0" applyFont="1" applyFill="1"/>
    <xf numFmtId="0" fontId="4" fillId="148" borderId="0" xfId="0" applyFont="1" applyFill="1"/>
    <xf numFmtId="0" fontId="4" fillId="149" borderId="0" xfId="0" applyFont="1" applyFill="1"/>
    <xf numFmtId="0" fontId="4" fillId="150" borderId="0" xfId="0" applyFont="1" applyFill="1"/>
    <xf numFmtId="0" fontId="4" fillId="151" borderId="0" xfId="0" applyFont="1" applyFill="1"/>
    <xf numFmtId="0" fontId="4" fillId="152" borderId="0" xfId="0" applyFont="1" applyFill="1"/>
    <xf numFmtId="0" fontId="4" fillId="153" borderId="0" xfId="0" applyFont="1" applyFill="1"/>
    <xf numFmtId="0" fontId="4" fillId="154" borderId="0" xfId="0" applyFont="1" applyFill="1"/>
    <xf numFmtId="0" fontId="4" fillId="155" borderId="0" xfId="0" applyFont="1" applyFill="1"/>
    <xf numFmtId="0" fontId="4" fillId="156" borderId="0" xfId="0" applyFont="1" applyFill="1"/>
    <xf numFmtId="0" fontId="4" fillId="157" borderId="0" xfId="0" applyFont="1" applyFill="1"/>
    <xf numFmtId="0" fontId="4" fillId="158" borderId="0" xfId="0" applyFont="1" applyFill="1"/>
    <xf numFmtId="0" fontId="4" fillId="159" borderId="0" xfId="0" applyFont="1" applyFill="1"/>
    <xf numFmtId="0" fontId="4" fillId="160" borderId="0" xfId="0" applyFont="1" applyFill="1"/>
    <xf numFmtId="0" fontId="4" fillId="161" borderId="0" xfId="0" applyFont="1" applyFill="1"/>
    <xf numFmtId="0" fontId="4" fillId="162" borderId="0" xfId="0" applyFont="1" applyFill="1"/>
    <xf numFmtId="0" fontId="4" fillId="163" borderId="0" xfId="0" applyFont="1" applyFill="1"/>
    <xf numFmtId="0" fontId="4" fillId="164" borderId="0" xfId="0" applyFont="1" applyFill="1"/>
    <xf numFmtId="0" fontId="4" fillId="165" borderId="0" xfId="0" applyFont="1" applyFill="1"/>
    <xf numFmtId="0" fontId="4" fillId="166" borderId="0" xfId="0" applyFont="1" applyFill="1"/>
    <xf numFmtId="0" fontId="4" fillId="167" borderId="0" xfId="0" applyFont="1" applyFill="1"/>
    <xf numFmtId="0" fontId="4" fillId="168" borderId="0" xfId="0" applyFont="1" applyFill="1"/>
    <xf numFmtId="0" fontId="4" fillId="169" borderId="0" xfId="0" applyFont="1" applyFill="1"/>
    <xf numFmtId="0" fontId="4" fillId="170" borderId="0" xfId="0" applyFont="1" applyFill="1"/>
    <xf numFmtId="0" fontId="4" fillId="171" borderId="0" xfId="0" applyFont="1" applyFill="1"/>
    <xf numFmtId="0" fontId="4" fillId="172" borderId="0" xfId="0" applyFont="1" applyFill="1"/>
    <xf numFmtId="0" fontId="4" fillId="173" borderId="0" xfId="0" applyFont="1" applyFill="1"/>
    <xf numFmtId="0" fontId="4" fillId="174" borderId="0" xfId="0" applyFont="1" applyFill="1"/>
    <xf numFmtId="0" fontId="4" fillId="175" borderId="0" xfId="0" applyFont="1" applyFill="1"/>
    <xf numFmtId="0" fontId="4" fillId="176" borderId="0" xfId="0" applyFont="1" applyFill="1"/>
    <xf numFmtId="0" fontId="4" fillId="177" borderId="0" xfId="0" applyFont="1" applyFill="1"/>
    <xf numFmtId="0" fontId="4" fillId="178" borderId="0" xfId="0" applyFont="1" applyFill="1"/>
    <xf numFmtId="0" fontId="4" fillId="179" borderId="0" xfId="0" applyFont="1" applyFill="1"/>
    <xf numFmtId="0" fontId="4" fillId="180" borderId="0" xfId="0" applyFont="1" applyFill="1"/>
    <xf numFmtId="0" fontId="4" fillId="181" borderId="0" xfId="0" applyFont="1" applyFill="1"/>
    <xf numFmtId="0" fontId="4" fillId="182" borderId="0" xfId="0" applyFont="1" applyFill="1"/>
    <xf numFmtId="0" fontId="4" fillId="183" borderId="0" xfId="0" applyFont="1" applyFill="1"/>
    <xf numFmtId="0" fontId="4" fillId="184" borderId="0" xfId="0" applyFont="1" applyFill="1"/>
    <xf numFmtId="0" fontId="4" fillId="185" borderId="0" xfId="0" applyFont="1" applyFill="1"/>
    <xf numFmtId="0" fontId="4" fillId="186" borderId="0" xfId="0" applyFont="1" applyFill="1"/>
    <xf numFmtId="0" fontId="4" fillId="187" borderId="0" xfId="0" applyFont="1" applyFill="1"/>
    <xf numFmtId="0" fontId="4" fillId="188" borderId="0" xfId="0" applyFont="1" applyFill="1"/>
    <xf numFmtId="0" fontId="4" fillId="189" borderId="0" xfId="0" applyFont="1" applyFill="1"/>
    <xf numFmtId="0" fontId="4" fillId="190" borderId="0" xfId="0" applyFont="1" applyFill="1"/>
    <xf numFmtId="0" fontId="4" fillId="191" borderId="0" xfId="0" applyFont="1" applyFill="1"/>
    <xf numFmtId="0" fontId="4" fillId="192" borderId="0" xfId="0" applyFont="1" applyFill="1"/>
    <xf numFmtId="0" fontId="3" fillId="193" borderId="0" xfId="0" applyFont="1" applyFill="1"/>
    <xf numFmtId="0" fontId="3" fillId="194" borderId="0" xfId="0" applyFont="1" applyFill="1"/>
    <xf numFmtId="0" fontId="3" fillId="195" borderId="0" xfId="0" applyFont="1" applyFill="1"/>
    <xf numFmtId="0" fontId="3" fillId="196" borderId="0" xfId="0" applyFont="1" applyFill="1"/>
    <xf numFmtId="0" fontId="3" fillId="197" borderId="0" xfId="0" applyFont="1" applyFill="1"/>
    <xf numFmtId="0" fontId="3" fillId="198" borderId="0" xfId="0" applyFont="1" applyFill="1"/>
    <xf numFmtId="0" fontId="3" fillId="199" borderId="0" xfId="0" applyFont="1" applyFill="1"/>
    <xf numFmtId="0" fontId="3" fillId="200" borderId="0" xfId="0" applyFont="1" applyFill="1"/>
    <xf numFmtId="0" fontId="3" fillId="201" borderId="0" xfId="0" applyFont="1" applyFill="1"/>
    <xf numFmtId="0" fontId="3" fillId="202" borderId="0" xfId="0" applyFont="1" applyFill="1"/>
    <xf numFmtId="0" fontId="3" fillId="203" borderId="0" xfId="0" applyFont="1" applyFill="1"/>
    <xf numFmtId="0" fontId="3" fillId="204" borderId="0" xfId="0" applyFont="1" applyFill="1"/>
    <xf numFmtId="0" fontId="3" fillId="205" borderId="0" xfId="0" applyFont="1" applyFill="1"/>
    <xf numFmtId="0" fontId="3" fillId="206" borderId="0" xfId="0" applyFont="1" applyFill="1"/>
    <xf numFmtId="0" fontId="3" fillId="207" borderId="0" xfId="0" applyFont="1" applyFill="1"/>
    <xf numFmtId="0" fontId="3" fillId="208" borderId="0" xfId="0" applyFont="1" applyFill="1"/>
    <xf numFmtId="0" fontId="3" fillId="209" borderId="0" xfId="0" applyFont="1" applyFill="1"/>
    <xf numFmtId="0" fontId="3" fillId="210" borderId="0" xfId="0" applyFont="1" applyFill="1"/>
    <xf numFmtId="0" fontId="3" fillId="211" borderId="0" xfId="0" applyFont="1" applyFill="1"/>
    <xf numFmtId="0" fontId="3" fillId="212" borderId="0" xfId="0" applyFont="1" applyFill="1"/>
    <xf numFmtId="0" fontId="3" fillId="213" borderId="0" xfId="0" applyFont="1" applyFill="1"/>
    <xf numFmtId="0" fontId="3" fillId="214" borderId="0" xfId="0" applyFont="1" applyFill="1"/>
    <xf numFmtId="0" fontId="3" fillId="215" borderId="0" xfId="0" applyFont="1" applyFill="1"/>
    <xf numFmtId="0" fontId="3" fillId="216" borderId="0" xfId="0" applyFont="1" applyFill="1"/>
    <xf numFmtId="0" fontId="3" fillId="217" borderId="0" xfId="0" applyFont="1" applyFill="1"/>
    <xf numFmtId="0" fontId="3" fillId="218" borderId="0" xfId="0" applyFont="1" applyFill="1"/>
    <xf numFmtId="0" fontId="3" fillId="219" borderId="0" xfId="0" applyFont="1" applyFill="1"/>
    <xf numFmtId="0" fontId="3" fillId="220" borderId="0" xfId="0" applyFont="1" applyFill="1"/>
    <xf numFmtId="0" fontId="3" fillId="221" borderId="0" xfId="0" applyFont="1" applyFill="1"/>
    <xf numFmtId="0" fontId="3" fillId="222" borderId="0" xfId="0" applyFont="1" applyFill="1"/>
    <xf numFmtId="0" fontId="3" fillId="223" borderId="0" xfId="0" applyFont="1" applyFill="1"/>
    <xf numFmtId="0" fontId="0" fillId="154" borderId="0" xfId="0" applyFill="1"/>
    <xf numFmtId="0" fontId="0" fillId="96" borderId="0" xfId="0" applyFill="1"/>
    <xf numFmtId="0" fontId="0" fillId="188" borderId="0" xfId="0" applyFill="1"/>
    <xf numFmtId="0" fontId="0" fillId="127" borderId="0" xfId="0" applyFill="1"/>
    <xf numFmtId="0" fontId="0" fillId="135" borderId="0" xfId="0" applyFill="1"/>
    <xf numFmtId="0" fontId="0" fillId="152" borderId="0" xfId="0" applyFill="1"/>
    <xf numFmtId="0" fontId="0" fillId="57" borderId="0" xfId="0" applyFill="1"/>
    <xf numFmtId="0" fontId="0" fillId="130" borderId="0" xfId="0" applyFill="1"/>
    <xf numFmtId="0" fontId="0" fillId="216" borderId="0" xfId="0" applyFill="1"/>
    <xf numFmtId="0" fontId="0" fillId="220" borderId="0" xfId="0" applyFill="1"/>
    <xf numFmtId="0" fontId="0" fillId="218" borderId="0" xfId="0" applyFill="1"/>
    <xf numFmtId="0" fontId="0" fillId="160" borderId="0" xfId="0" applyFill="1"/>
    <xf numFmtId="0" fontId="0" fillId="109" borderId="0" xfId="0" applyFill="1"/>
    <xf numFmtId="0" fontId="0" fillId="208" borderId="0" xfId="0" applyFill="1"/>
    <xf numFmtId="0" fontId="0" fillId="212" borderId="0" xfId="0" applyFill="1"/>
    <xf numFmtId="0" fontId="0" fillId="214" borderId="0" xfId="0" applyFill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ECECEC"/>
      <color rgb="FF606060"/>
      <color rgb="FF202020"/>
      <color rgb="FF765B82"/>
      <color rgb="FF909090"/>
      <color rgb="FFFFC184"/>
      <color rgb="FF4B3E6C"/>
      <color rgb="FF716996"/>
      <color rgb="FF292936"/>
      <color rgb="FF4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workbookViewId="0">
      <pane xSplit="4" ySplit="1" topLeftCell="E2" activePane="bottomRight" state="frozen"/>
      <selection pane="topRight" activeCell="B1" sqref="B1"/>
      <selection pane="bottomLeft" activeCell="A3" sqref="A3"/>
      <selection pane="bottomRight"/>
    </sheetView>
  </sheetViews>
  <sheetFormatPr defaultRowHeight="18.75"/>
  <cols>
    <col min="1" max="1" width="3.375" bestFit="1" customWidth="1"/>
    <col min="2" max="2" width="9" bestFit="1" customWidth="1"/>
    <col min="3" max="3" width="7.125" bestFit="1" customWidth="1"/>
    <col min="4" max="4" width="28.125" style="4" bestFit="1" customWidth="1"/>
    <col min="9" max="9" width="16.625" style="2" bestFit="1" customWidth="1"/>
    <col min="10" max="10" width="16.625" style="4" bestFit="1" customWidth="1"/>
    <col min="11" max="11" width="13" style="2" bestFit="1" customWidth="1"/>
    <col min="12" max="12" width="13" bestFit="1" customWidth="1"/>
    <col min="13" max="13" width="13" style="4" customWidth="1"/>
    <col min="14" max="14" width="13" style="2" bestFit="1" customWidth="1"/>
    <col min="15" max="16" width="13" bestFit="1" customWidth="1"/>
  </cols>
  <sheetData>
    <row r="1" spans="1:16" ht="37.5">
      <c r="A1" t="s">
        <v>54</v>
      </c>
      <c r="B1" t="s">
        <v>281</v>
      </c>
      <c r="C1" t="s">
        <v>55</v>
      </c>
      <c r="D1" s="4" t="s">
        <v>39</v>
      </c>
      <c r="E1" t="s">
        <v>0</v>
      </c>
      <c r="F1" t="s">
        <v>1</v>
      </c>
      <c r="G1" t="s">
        <v>4</v>
      </c>
      <c r="H1" t="s">
        <v>5</v>
      </c>
      <c r="I1" s="1" t="s">
        <v>2</v>
      </c>
      <c r="J1" s="3" t="s">
        <v>3</v>
      </c>
      <c r="K1" s="1" t="s">
        <v>6</v>
      </c>
      <c r="L1" s="7" t="s">
        <v>9</v>
      </c>
      <c r="M1" s="3" t="s">
        <v>37</v>
      </c>
      <c r="N1" s="1" t="s">
        <v>7</v>
      </c>
      <c r="O1" s="7" t="s">
        <v>8</v>
      </c>
      <c r="P1" s="7" t="s">
        <v>38</v>
      </c>
    </row>
    <row r="2" spans="1:16">
      <c r="D2" s="4" t="s">
        <v>28</v>
      </c>
    </row>
    <row r="3" spans="1:16">
      <c r="A3" s="242"/>
      <c r="B3" t="str">
        <f>VLOOKUP($C3,色!$A$2:$B$225,2,FALSE)</f>
        <v>#4B3E6C</v>
      </c>
      <c r="C3">
        <v>218</v>
      </c>
      <c r="D3" s="4" t="s">
        <v>10</v>
      </c>
      <c r="E3">
        <v>35</v>
      </c>
      <c r="F3">
        <v>25</v>
      </c>
      <c r="G3">
        <v>10</v>
      </c>
      <c r="H3">
        <v>5</v>
      </c>
      <c r="I3" s="2">
        <f t="shared" ref="I3:I6" si="0">IF($E3="",14*64,$E3*64)</f>
        <v>2240</v>
      </c>
      <c r="J3" s="4">
        <f t="shared" ref="J3:J6" si="1">IF($E3="",(14+$F3)*64,($E3+$F3)*64)</f>
        <v>3840</v>
      </c>
      <c r="K3" s="2">
        <f>G3*72</f>
        <v>720</v>
      </c>
      <c r="L3" t="str">
        <f>FIXED($K3*$J3/$I3,0,TRUE)</f>
        <v>1234</v>
      </c>
      <c r="M3" s="4" t="str">
        <f t="shared" ref="M3:M6" si="2">FIXED(($K3+$L3)/2,0,TRUE)</f>
        <v>977</v>
      </c>
      <c r="N3" s="2">
        <f t="shared" ref="N3:N6" si="3">IF($H3="",$G3/3*72,$H3*72)</f>
        <v>360</v>
      </c>
      <c r="O3" t="str">
        <f>FIXED($N3*$J3/$I3,0,TRUE)</f>
        <v>617</v>
      </c>
      <c r="P3" t="str">
        <f t="shared" ref="P3:P6" si="4">FIXED(($N3+$O3)/2,0,TRUE)</f>
        <v>489</v>
      </c>
    </row>
    <row r="4" spans="1:16">
      <c r="A4" s="240"/>
      <c r="B4" t="str">
        <f>VLOOKUP($C4,色!$A$2:$B$225,2,FALSE)</f>
        <v>#292936</v>
      </c>
      <c r="C4">
        <v>216</v>
      </c>
      <c r="D4" s="4" t="s">
        <v>26</v>
      </c>
      <c r="E4">
        <v>500</v>
      </c>
      <c r="F4">
        <v>200</v>
      </c>
      <c r="G4">
        <v>50</v>
      </c>
      <c r="H4">
        <v>23</v>
      </c>
      <c r="I4" s="2">
        <f t="shared" si="0"/>
        <v>32000</v>
      </c>
      <c r="J4" s="4">
        <f t="shared" si="1"/>
        <v>44800</v>
      </c>
      <c r="K4" s="2">
        <f t="shared" ref="K4:K5" si="5">G4*72</f>
        <v>3600</v>
      </c>
      <c r="L4" t="str">
        <f t="shared" ref="L4:L6" si="6">FIXED($K4*$J4/$I4,0,TRUE)</f>
        <v>5040</v>
      </c>
      <c r="M4" s="4" t="str">
        <f t="shared" si="2"/>
        <v>4320</v>
      </c>
      <c r="N4" s="2">
        <f t="shared" si="3"/>
        <v>1656</v>
      </c>
      <c r="O4" t="str">
        <f>FIXED($N4*$J4/$I4,0,TRUE)</f>
        <v>2318</v>
      </c>
      <c r="P4" t="str">
        <f t="shared" si="4"/>
        <v>1987</v>
      </c>
    </row>
    <row r="5" spans="1:16">
      <c r="A5" s="241"/>
      <c r="B5" t="str">
        <f>VLOOKUP($C5,色!$A$2:$B$225,2,FALSE)</f>
        <v>#716996</v>
      </c>
      <c r="C5">
        <v>220</v>
      </c>
      <c r="D5" s="4" t="s">
        <v>27</v>
      </c>
      <c r="E5">
        <v>500</v>
      </c>
      <c r="F5">
        <v>200</v>
      </c>
      <c r="G5">
        <v>50</v>
      </c>
      <c r="H5">
        <v>23</v>
      </c>
      <c r="I5" s="2">
        <f t="shared" si="0"/>
        <v>32000</v>
      </c>
      <c r="J5" s="4">
        <f t="shared" si="1"/>
        <v>44800</v>
      </c>
      <c r="K5" s="2">
        <f t="shared" si="5"/>
        <v>3600</v>
      </c>
      <c r="L5" t="str">
        <f t="shared" si="6"/>
        <v>5040</v>
      </c>
      <c r="M5" s="4" t="str">
        <f t="shared" si="2"/>
        <v>4320</v>
      </c>
      <c r="N5" s="2">
        <f t="shared" si="3"/>
        <v>1656</v>
      </c>
      <c r="O5" t="str">
        <f>FIXED($N5*$J5/$I5,0,TRUE)</f>
        <v>2318</v>
      </c>
      <c r="P5" t="str">
        <f t="shared" si="4"/>
        <v>1987</v>
      </c>
    </row>
    <row r="6" spans="1:16">
      <c r="A6" s="242"/>
      <c r="B6" t="str">
        <f>VLOOKUP($C6,色!$A$2:$B$225,2,FALSE)</f>
        <v>#4B3E6C</v>
      </c>
      <c r="C6">
        <v>218</v>
      </c>
      <c r="D6" s="4" t="s">
        <v>288</v>
      </c>
      <c r="E6">
        <v>300</v>
      </c>
      <c r="F6">
        <v>200</v>
      </c>
      <c r="G6">
        <v>10</v>
      </c>
      <c r="H6">
        <v>5</v>
      </c>
      <c r="I6" s="2">
        <f t="shared" si="0"/>
        <v>19200</v>
      </c>
      <c r="J6" s="4">
        <f t="shared" si="1"/>
        <v>32000</v>
      </c>
      <c r="K6" s="2">
        <f t="shared" ref="K6" si="7">G6*72</f>
        <v>720</v>
      </c>
      <c r="L6" t="str">
        <f t="shared" si="6"/>
        <v>1200</v>
      </c>
      <c r="M6" s="4" t="str">
        <f t="shared" si="2"/>
        <v>960</v>
      </c>
      <c r="N6" s="2">
        <f t="shared" si="3"/>
        <v>360</v>
      </c>
      <c r="O6" t="str">
        <f>FIXED($N6*$J6/$I6,0,TRUE)</f>
        <v>600</v>
      </c>
      <c r="P6" t="str">
        <f t="shared" si="4"/>
        <v>480</v>
      </c>
    </row>
    <row r="7" spans="1:16">
      <c r="D7" s="4" t="s">
        <v>30</v>
      </c>
    </row>
    <row r="8" spans="1:16">
      <c r="D8" s="4" t="s">
        <v>17</v>
      </c>
      <c r="E8">
        <v>80</v>
      </c>
      <c r="F8">
        <v>50</v>
      </c>
      <c r="G8">
        <v>25</v>
      </c>
      <c r="H8">
        <v>10</v>
      </c>
      <c r="I8" s="2">
        <f t="shared" ref="I8:I10" si="8">IF($E8="",14*64,$E8*64)</f>
        <v>5120</v>
      </c>
      <c r="J8" s="4">
        <f t="shared" ref="J8:J10" si="9">IF($E8="",(14+$F8)*64,($E8+$F8)*64)</f>
        <v>8320</v>
      </c>
      <c r="K8" s="2">
        <f t="shared" ref="K8:K10" si="10">G8*72</f>
        <v>1800</v>
      </c>
      <c r="L8" t="str">
        <f t="shared" ref="L8:L10" si="11">FIXED($K8*$J8/$I8,0,TRUE)</f>
        <v>2925</v>
      </c>
      <c r="M8" s="4" t="str">
        <f t="shared" ref="M8:M10" si="12">FIXED(($K8+$L8)/2,0,TRUE)</f>
        <v>2363</v>
      </c>
      <c r="N8" s="2">
        <f t="shared" ref="N8:N10" si="13">IF($H8="",$G8/3*72,$H8*72)</f>
        <v>720</v>
      </c>
      <c r="O8" t="str">
        <f>FIXED($N8*$J8/$I8,0,TRUE)</f>
        <v>1170</v>
      </c>
      <c r="P8" t="str">
        <f t="shared" ref="P8:P10" si="14">FIXED(($N8+$O8)/2,0,TRUE)</f>
        <v>945</v>
      </c>
    </row>
    <row r="9" spans="1:16">
      <c r="D9" s="4" t="s">
        <v>18</v>
      </c>
      <c r="E9">
        <v>150</v>
      </c>
      <c r="F9">
        <v>100</v>
      </c>
      <c r="G9">
        <v>150</v>
      </c>
      <c r="H9">
        <v>10</v>
      </c>
      <c r="I9" s="2">
        <f t="shared" si="8"/>
        <v>9600</v>
      </c>
      <c r="J9" s="4">
        <f t="shared" si="9"/>
        <v>16000</v>
      </c>
      <c r="K9" s="2">
        <f t="shared" si="10"/>
        <v>10800</v>
      </c>
      <c r="L9" t="str">
        <f t="shared" si="11"/>
        <v>18000</v>
      </c>
      <c r="M9" s="4" t="str">
        <f t="shared" si="12"/>
        <v>14400</v>
      </c>
      <c r="N9" s="2">
        <f t="shared" si="13"/>
        <v>720</v>
      </c>
      <c r="O9" t="str">
        <f>FIXED($N9*$J9/$I9,0,TRUE)</f>
        <v>1200</v>
      </c>
      <c r="P9" t="str">
        <f t="shared" si="14"/>
        <v>960</v>
      </c>
    </row>
    <row r="10" spans="1:16">
      <c r="D10" s="4" t="s">
        <v>19</v>
      </c>
      <c r="E10">
        <v>180</v>
      </c>
      <c r="F10">
        <v>30</v>
      </c>
      <c r="G10">
        <v>75</v>
      </c>
      <c r="H10">
        <v>25</v>
      </c>
      <c r="I10" s="2">
        <f t="shared" si="8"/>
        <v>11520</v>
      </c>
      <c r="J10" s="4">
        <f t="shared" si="9"/>
        <v>13440</v>
      </c>
      <c r="K10" s="2">
        <f t="shared" si="10"/>
        <v>5400</v>
      </c>
      <c r="L10" t="str">
        <f t="shared" si="11"/>
        <v>6300</v>
      </c>
      <c r="M10" s="4" t="str">
        <f t="shared" si="12"/>
        <v>5850</v>
      </c>
      <c r="N10" s="2">
        <f t="shared" si="13"/>
        <v>1800</v>
      </c>
      <c r="O10" t="str">
        <f>FIXED($N10*$J10/$I10,0,TRUE)</f>
        <v>2100</v>
      </c>
      <c r="P10" t="str">
        <f t="shared" si="14"/>
        <v>1950</v>
      </c>
    </row>
    <row r="11" spans="1:16">
      <c r="D11" s="4" t="s">
        <v>29</v>
      </c>
    </row>
    <row r="12" spans="1:16">
      <c r="D12" s="4" t="s">
        <v>24</v>
      </c>
      <c r="E12">
        <v>150</v>
      </c>
      <c r="F12">
        <v>450</v>
      </c>
      <c r="G12">
        <v>75</v>
      </c>
      <c r="H12">
        <v>5</v>
      </c>
      <c r="I12" s="2">
        <f t="shared" ref="I12:I13" si="15">IF($E12="",14*64,$E12*64)</f>
        <v>9600</v>
      </c>
      <c r="J12" s="4">
        <f t="shared" ref="J12:J13" si="16">IF($E12="",(14+$F12)*64,($E12+$F12)*64)</f>
        <v>38400</v>
      </c>
      <c r="K12" s="2">
        <f t="shared" ref="K12:K13" si="17">G12*72</f>
        <v>5400</v>
      </c>
      <c r="L12" t="str">
        <f t="shared" ref="L12:L13" si="18">FIXED($K12*$J12/$I12,0,TRUE)</f>
        <v>21600</v>
      </c>
      <c r="M12" s="4" t="str">
        <f t="shared" ref="M12:M13" si="19">FIXED(($K12+$L12)/2,0,TRUE)</f>
        <v>13500</v>
      </c>
      <c r="N12" s="2">
        <f t="shared" ref="N12:N13" si="20">IF($H12="",$G12/3*72,$H12*72)</f>
        <v>360</v>
      </c>
      <c r="O12" t="str">
        <f>FIXED($N12*$J12/$I12,0,TRUE)</f>
        <v>1440</v>
      </c>
      <c r="P12" t="str">
        <f t="shared" ref="P12:P13" si="21">FIXED(($N12+$O12)/2,0,TRUE)</f>
        <v>900</v>
      </c>
    </row>
    <row r="13" spans="1:16">
      <c r="D13" s="4" t="s">
        <v>25</v>
      </c>
      <c r="E13">
        <v>600</v>
      </c>
      <c r="F13">
        <v>150</v>
      </c>
      <c r="G13">
        <v>75</v>
      </c>
      <c r="H13">
        <v>12</v>
      </c>
      <c r="I13" s="2">
        <f t="shared" si="15"/>
        <v>38400</v>
      </c>
      <c r="J13" s="4">
        <f t="shared" si="16"/>
        <v>48000</v>
      </c>
      <c r="K13" s="2">
        <f t="shared" si="17"/>
        <v>5400</v>
      </c>
      <c r="L13" t="str">
        <f t="shared" si="18"/>
        <v>6750</v>
      </c>
      <c r="M13" s="4" t="str">
        <f t="shared" si="19"/>
        <v>6075</v>
      </c>
      <c r="N13" s="2">
        <f t="shared" si="20"/>
        <v>864</v>
      </c>
      <c r="O13" t="str">
        <f>FIXED($N13*$J13/$I13,0,TRUE)</f>
        <v>1080</v>
      </c>
      <c r="P13" t="str">
        <f t="shared" si="21"/>
        <v>972</v>
      </c>
    </row>
    <row r="14" spans="1:16">
      <c r="D14" s="4" t="s">
        <v>34</v>
      </c>
    </row>
    <row r="15" spans="1:16">
      <c r="A15" s="232"/>
      <c r="B15" t="str">
        <f>VLOOKUP($C15,色!$A$2:$B$225,2,FALSE)</f>
        <v>#804000</v>
      </c>
      <c r="C15">
        <v>152</v>
      </c>
      <c r="D15" s="4" t="s">
        <v>35</v>
      </c>
      <c r="E15">
        <v>50</v>
      </c>
      <c r="F15">
        <v>100</v>
      </c>
      <c r="G15">
        <v>5</v>
      </c>
      <c r="H15">
        <v>1</v>
      </c>
      <c r="I15" s="2">
        <f t="shared" ref="I15:I19" si="22">IF($E15="",14*64,$E15*64)</f>
        <v>3200</v>
      </c>
      <c r="J15" s="4">
        <f t="shared" ref="J15:J19" si="23">IF($E15="",(14+$F15)*64,($E15+$F15)*64)</f>
        <v>9600</v>
      </c>
      <c r="K15" s="2">
        <f t="shared" ref="K15:K19" si="24">G15*72</f>
        <v>360</v>
      </c>
      <c r="L15" t="str">
        <f t="shared" ref="L15:L19" si="25">FIXED($K15*$J15/$I15,0,TRUE)</f>
        <v>1080</v>
      </c>
      <c r="M15" s="4" t="str">
        <f t="shared" ref="M15:M19" si="26">FIXED(($K15+$L15)/2,0,TRUE)</f>
        <v>720</v>
      </c>
      <c r="N15" s="2">
        <f t="shared" ref="N15:N19" si="27">IF($H15="",$G15/3*72,$H15*72)</f>
        <v>72</v>
      </c>
      <c r="O15" t="str">
        <f>FIXED($N15*$J15/$I15,0,TRUE)</f>
        <v>216</v>
      </c>
      <c r="P15" t="str">
        <f t="shared" ref="P15:P19" si="28">FIXED(($N15+$O15)/2,0,TRUE)</f>
        <v>144</v>
      </c>
    </row>
    <row r="16" spans="1:16">
      <c r="A16" s="233"/>
      <c r="B16" t="str">
        <f>VLOOKUP($C16,色!$A$2:$B$225,2,FALSE)</f>
        <v>#E2AD73</v>
      </c>
      <c r="C16">
        <v>94</v>
      </c>
      <c r="D16" s="4" t="s">
        <v>36</v>
      </c>
      <c r="E16">
        <v>160</v>
      </c>
      <c r="F16">
        <v>80</v>
      </c>
      <c r="G16">
        <v>15</v>
      </c>
      <c r="H16">
        <v>3</v>
      </c>
      <c r="I16" s="2">
        <f t="shared" si="22"/>
        <v>10240</v>
      </c>
      <c r="J16" s="4">
        <f t="shared" si="23"/>
        <v>15360</v>
      </c>
      <c r="K16" s="2">
        <f t="shared" si="24"/>
        <v>1080</v>
      </c>
      <c r="L16" t="str">
        <f t="shared" si="25"/>
        <v>1620</v>
      </c>
      <c r="M16" s="4" t="str">
        <f t="shared" si="26"/>
        <v>1350</v>
      </c>
      <c r="N16" s="2">
        <f t="shared" si="27"/>
        <v>216</v>
      </c>
      <c r="O16" t="str">
        <f>FIXED($N16*$J16/$I16,0,TRUE)</f>
        <v>324</v>
      </c>
      <c r="P16" t="str">
        <f t="shared" si="28"/>
        <v>270</v>
      </c>
    </row>
    <row r="17" spans="1:16">
      <c r="A17" s="234"/>
      <c r="B17" t="str">
        <f>VLOOKUP($C17,色!$A$2:$B$225,2,FALSE)</f>
        <v>#8A4010</v>
      </c>
      <c r="C17">
        <v>188</v>
      </c>
      <c r="D17" s="4" t="s">
        <v>53</v>
      </c>
      <c r="E17">
        <v>50</v>
      </c>
      <c r="F17">
        <v>50</v>
      </c>
      <c r="G17">
        <v>30</v>
      </c>
      <c r="H17">
        <v>15</v>
      </c>
      <c r="I17" s="2">
        <f t="shared" si="22"/>
        <v>3200</v>
      </c>
      <c r="J17" s="4">
        <f t="shared" si="23"/>
        <v>6400</v>
      </c>
      <c r="K17" s="2">
        <f t="shared" si="24"/>
        <v>2160</v>
      </c>
      <c r="L17" t="str">
        <f t="shared" si="25"/>
        <v>4320</v>
      </c>
      <c r="M17" s="4" t="str">
        <f t="shared" si="26"/>
        <v>3240</v>
      </c>
      <c r="N17" s="2">
        <f t="shared" si="27"/>
        <v>1080</v>
      </c>
      <c r="O17" t="str">
        <f>FIXED($N17*$J17/$I17,0,TRUE)</f>
        <v>2160</v>
      </c>
      <c r="P17" t="str">
        <f t="shared" si="28"/>
        <v>1620</v>
      </c>
    </row>
    <row r="18" spans="1:16">
      <c r="A18" s="235"/>
      <c r="B18" t="str">
        <f>VLOOKUP($C18,色!$A$2:$B$225,2,FALSE)</f>
        <v>#78C99C</v>
      </c>
      <c r="C18">
        <v>125</v>
      </c>
      <c r="D18" s="4" t="s">
        <v>284</v>
      </c>
      <c r="E18">
        <v>25</v>
      </c>
      <c r="F18">
        <v>42</v>
      </c>
      <c r="G18">
        <v>15</v>
      </c>
      <c r="H18">
        <v>20</v>
      </c>
      <c r="I18" s="2">
        <f t="shared" si="22"/>
        <v>1600</v>
      </c>
      <c r="J18" s="4">
        <f t="shared" si="23"/>
        <v>4288</v>
      </c>
      <c r="K18" s="2">
        <f t="shared" si="24"/>
        <v>1080</v>
      </c>
      <c r="L18" t="str">
        <f t="shared" si="25"/>
        <v>2894</v>
      </c>
      <c r="M18" s="4" t="str">
        <f t="shared" si="26"/>
        <v>1987</v>
      </c>
      <c r="N18" s="2">
        <f t="shared" si="27"/>
        <v>1440</v>
      </c>
      <c r="O18" t="str">
        <f>FIXED($N18*$J18/$I18,0,TRUE)</f>
        <v>3859</v>
      </c>
      <c r="P18" t="str">
        <f t="shared" si="28"/>
        <v>2650</v>
      </c>
    </row>
    <row r="19" spans="1:16">
      <c r="A19" s="243"/>
      <c r="B19" t="str">
        <f>VLOOKUP($C19,色!$A$2:$B$225,2,FALSE)</f>
        <v>#FFC184</v>
      </c>
      <c r="C19">
        <v>159</v>
      </c>
      <c r="D19" s="4" t="s">
        <v>285</v>
      </c>
      <c r="E19">
        <v>245</v>
      </c>
      <c r="F19">
        <v>120</v>
      </c>
      <c r="G19">
        <v>24</v>
      </c>
      <c r="H19">
        <v>8</v>
      </c>
      <c r="I19" s="2">
        <f t="shared" si="22"/>
        <v>15680</v>
      </c>
      <c r="J19" s="4">
        <f t="shared" si="23"/>
        <v>23360</v>
      </c>
      <c r="K19" s="2">
        <f t="shared" si="24"/>
        <v>1728</v>
      </c>
      <c r="L19" t="str">
        <f t="shared" si="25"/>
        <v>2574</v>
      </c>
      <c r="M19" s="4" t="str">
        <f t="shared" si="26"/>
        <v>2151</v>
      </c>
      <c r="N19" s="2">
        <f t="shared" si="27"/>
        <v>576</v>
      </c>
      <c r="O19" t="str">
        <f>FIXED($N19*$J19/$I19,0,TRUE)</f>
        <v>858</v>
      </c>
      <c r="P19" t="str">
        <f t="shared" si="28"/>
        <v>717</v>
      </c>
    </row>
    <row r="20" spans="1:16">
      <c r="D20" s="4" t="s">
        <v>31</v>
      </c>
    </row>
    <row r="21" spans="1:16">
      <c r="A21" s="239"/>
      <c r="B21" t="str">
        <f>VLOOKUP($C21,色!$A$2:$B$225,2,FALSE)</f>
        <v>#400000</v>
      </c>
      <c r="C21">
        <v>184</v>
      </c>
      <c r="D21" s="4" t="s">
        <v>20</v>
      </c>
      <c r="E21">
        <v>80</v>
      </c>
      <c r="F21">
        <v>160</v>
      </c>
      <c r="G21">
        <v>30</v>
      </c>
      <c r="H21">
        <v>10</v>
      </c>
      <c r="I21" s="2">
        <f t="shared" ref="I21:I24" si="29">IF($E21="",14*64,$E21*64)</f>
        <v>5120</v>
      </c>
      <c r="J21" s="4">
        <f t="shared" ref="J21:J24" si="30">IF($E21="",(14+$F21)*64,($E21+$F21)*64)</f>
        <v>15360</v>
      </c>
      <c r="K21" s="2">
        <f t="shared" ref="K21:K24" si="31">G21*72</f>
        <v>2160</v>
      </c>
      <c r="L21" t="str">
        <f t="shared" ref="L21:L24" si="32">FIXED($K21*$J21/$I21,0,TRUE)</f>
        <v>6480</v>
      </c>
      <c r="M21" s="4" t="str">
        <f t="shared" ref="M21:M24" si="33">FIXED(($K21+$L21)/2,0,TRUE)</f>
        <v>4320</v>
      </c>
      <c r="N21" s="2">
        <f t="shared" ref="N21:N24" si="34">IF($H21="",$G21/3*72,$H21*72)</f>
        <v>720</v>
      </c>
      <c r="O21" t="str">
        <f>FIXED($N21*$J21/$I21,0,TRUE)</f>
        <v>2160</v>
      </c>
      <c r="P21" t="str">
        <f t="shared" ref="P21:P24" si="35">FIXED(($N21+$O21)/2,0,TRUE)</f>
        <v>1440</v>
      </c>
    </row>
    <row r="22" spans="1:16">
      <c r="A22" s="237"/>
      <c r="B22" t="str">
        <f>VLOOKUP($C22,色!$A$2:$B$225,2,FALSE)</f>
        <v>#006AFF</v>
      </c>
      <c r="C22">
        <v>150</v>
      </c>
      <c r="D22" s="4" t="s">
        <v>21</v>
      </c>
      <c r="E22">
        <v>500</v>
      </c>
      <c r="F22">
        <v>100</v>
      </c>
      <c r="G22">
        <v>65</v>
      </c>
      <c r="H22">
        <v>25</v>
      </c>
      <c r="I22" s="2">
        <f t="shared" si="29"/>
        <v>32000</v>
      </c>
      <c r="J22" s="4">
        <f t="shared" si="30"/>
        <v>38400</v>
      </c>
      <c r="K22" s="2">
        <f t="shared" si="31"/>
        <v>4680</v>
      </c>
      <c r="L22" t="str">
        <f t="shared" si="32"/>
        <v>5616</v>
      </c>
      <c r="M22" s="4" t="str">
        <f t="shared" si="33"/>
        <v>5148</v>
      </c>
      <c r="N22" s="2">
        <f t="shared" si="34"/>
        <v>1800</v>
      </c>
      <c r="O22" t="str">
        <f>FIXED($N22*$J22/$I22,0,TRUE)</f>
        <v>2160</v>
      </c>
      <c r="P22" t="str">
        <f t="shared" si="35"/>
        <v>1980</v>
      </c>
    </row>
    <row r="23" spans="1:16">
      <c r="A23" s="238"/>
      <c r="B23" t="str">
        <f>VLOOKUP($C23,色!$A$2:$B$225,2,FALSE)</f>
        <v>#00F1DB</v>
      </c>
      <c r="C23">
        <v>55</v>
      </c>
      <c r="D23" s="4" t="s">
        <v>22</v>
      </c>
      <c r="E23">
        <v>120</v>
      </c>
      <c r="F23">
        <v>80</v>
      </c>
      <c r="G23">
        <v>30</v>
      </c>
      <c r="H23">
        <v>11</v>
      </c>
      <c r="I23" s="2">
        <f t="shared" si="29"/>
        <v>7680</v>
      </c>
      <c r="J23" s="4">
        <f t="shared" si="30"/>
        <v>12800</v>
      </c>
      <c r="K23" s="2">
        <f t="shared" si="31"/>
        <v>2160</v>
      </c>
      <c r="L23" t="str">
        <f t="shared" si="32"/>
        <v>3600</v>
      </c>
      <c r="M23" s="4" t="str">
        <f t="shared" si="33"/>
        <v>2880</v>
      </c>
      <c r="N23" s="2">
        <f t="shared" si="34"/>
        <v>792</v>
      </c>
      <c r="O23" t="str">
        <f>FIXED($N23*$J23/$I23,0,TRUE)</f>
        <v>1320</v>
      </c>
      <c r="P23" t="str">
        <f t="shared" si="35"/>
        <v>1056</v>
      </c>
    </row>
    <row r="24" spans="1:16">
      <c r="A24" s="236"/>
      <c r="B24" t="str">
        <f>VLOOKUP($C24,色!$A$2:$B$225,2,FALSE)</f>
        <v>#FF4040</v>
      </c>
      <c r="C24">
        <v>133</v>
      </c>
      <c r="D24" s="4" t="s">
        <v>23</v>
      </c>
      <c r="E24">
        <v>10</v>
      </c>
      <c r="F24">
        <v>50</v>
      </c>
      <c r="G24">
        <v>5</v>
      </c>
      <c r="H24">
        <v>1</v>
      </c>
      <c r="I24" s="2">
        <f t="shared" si="29"/>
        <v>640</v>
      </c>
      <c r="J24" s="4">
        <f t="shared" si="30"/>
        <v>3840</v>
      </c>
      <c r="K24" s="2">
        <f t="shared" si="31"/>
        <v>360</v>
      </c>
      <c r="L24" t="str">
        <f t="shared" si="32"/>
        <v>2160</v>
      </c>
      <c r="M24" s="4" t="str">
        <f t="shared" si="33"/>
        <v>1260</v>
      </c>
      <c r="N24" s="2">
        <f t="shared" si="34"/>
        <v>72</v>
      </c>
      <c r="O24" t="str">
        <f>FIXED($N24*$J24/$I24,0,TRUE)</f>
        <v>432</v>
      </c>
      <c r="P24" t="str">
        <f t="shared" si="35"/>
        <v>252</v>
      </c>
    </row>
    <row r="25" spans="1:16">
      <c r="D25" s="4" t="s">
        <v>32</v>
      </c>
    </row>
    <row r="26" spans="1:16">
      <c r="A26" s="247"/>
      <c r="B26" t="str">
        <f>VLOOKUP($C26,色!$A$2:$B$225,2,FALSE)</f>
        <v>#ECECEC</v>
      </c>
      <c r="C26">
        <v>214</v>
      </c>
      <c r="D26" s="4" t="s">
        <v>13</v>
      </c>
      <c r="E26">
        <v>150</v>
      </c>
      <c r="F26">
        <v>30</v>
      </c>
      <c r="G26">
        <v>32</v>
      </c>
      <c r="H26">
        <v>15</v>
      </c>
      <c r="I26" s="2">
        <f t="shared" ref="I26:I32" si="36">IF($E26="",14*64,$E26*64)</f>
        <v>9600</v>
      </c>
      <c r="J26" s="4">
        <f t="shared" ref="J26:J32" si="37">IF($E26="",(14+$F26)*64,($E26+$F26)*64)</f>
        <v>11520</v>
      </c>
      <c r="K26" s="2">
        <f t="shared" ref="K26:K32" si="38">G26*72</f>
        <v>2304</v>
      </c>
      <c r="L26" t="str">
        <f t="shared" ref="L26:L32" si="39">FIXED($K26*$J26/$I26,0,TRUE)</f>
        <v>2765</v>
      </c>
      <c r="M26" s="4" t="str">
        <f t="shared" ref="M26:M32" si="40">FIXED(($K26+$L26)/2,0,TRUE)</f>
        <v>2535</v>
      </c>
      <c r="N26" s="2">
        <f t="shared" ref="N26:N32" si="41">IF($H26="",$G26/3*72,$H26*72)</f>
        <v>1080</v>
      </c>
      <c r="O26" t="str">
        <f>FIXED($N26*$J26/$I26,0,TRUE)</f>
        <v>1296</v>
      </c>
      <c r="P26" t="str">
        <f t="shared" ref="P26:P32" si="42">FIXED(($N26+$O26)/2,0,TRUE)</f>
        <v>1188</v>
      </c>
    </row>
    <row r="27" spans="1:16">
      <c r="A27" s="245"/>
      <c r="B27" t="str">
        <f>VLOOKUP($C27,色!$A$2:$B$225,2,FALSE)</f>
        <v>#202020</v>
      </c>
      <c r="C27">
        <v>208</v>
      </c>
      <c r="D27" s="4" t="s">
        <v>14</v>
      </c>
      <c r="E27">
        <v>500</v>
      </c>
      <c r="F27">
        <v>140</v>
      </c>
      <c r="G27">
        <v>50</v>
      </c>
      <c r="H27">
        <v>45</v>
      </c>
      <c r="I27" s="2">
        <f t="shared" si="36"/>
        <v>32000</v>
      </c>
      <c r="J27" s="4">
        <f t="shared" si="37"/>
        <v>40960</v>
      </c>
      <c r="K27" s="2">
        <f t="shared" si="38"/>
        <v>3600</v>
      </c>
      <c r="L27" t="str">
        <f t="shared" si="39"/>
        <v>4608</v>
      </c>
      <c r="M27" s="4" t="str">
        <f t="shared" si="40"/>
        <v>4104</v>
      </c>
      <c r="N27" s="2">
        <f t="shared" si="41"/>
        <v>3240</v>
      </c>
      <c r="O27" t="str">
        <f>FIXED($N27*$J27/$I27,0,TRUE)</f>
        <v>4147</v>
      </c>
      <c r="P27" t="str">
        <f t="shared" si="42"/>
        <v>3694</v>
      </c>
    </row>
    <row r="28" spans="1:16">
      <c r="A28" s="245"/>
      <c r="B28" t="str">
        <f>VLOOKUP($C28,色!$A$2:$B$225,2,FALSE)</f>
        <v>#202020</v>
      </c>
      <c r="C28">
        <v>208</v>
      </c>
      <c r="D28" s="4" t="s">
        <v>15</v>
      </c>
      <c r="E28">
        <v>500</v>
      </c>
      <c r="F28">
        <v>140</v>
      </c>
      <c r="G28">
        <v>40</v>
      </c>
      <c r="H28">
        <v>35</v>
      </c>
      <c r="I28" s="2">
        <f t="shared" si="36"/>
        <v>32000</v>
      </c>
      <c r="J28" s="4">
        <f t="shared" si="37"/>
        <v>40960</v>
      </c>
      <c r="K28" s="2">
        <f t="shared" si="38"/>
        <v>2880</v>
      </c>
      <c r="L28" t="str">
        <f t="shared" si="39"/>
        <v>3686</v>
      </c>
      <c r="M28" s="4" t="str">
        <f t="shared" si="40"/>
        <v>3283</v>
      </c>
      <c r="N28" s="2">
        <f t="shared" si="41"/>
        <v>2520</v>
      </c>
      <c r="O28" t="str">
        <f>FIXED($N28*$J28/$I28,0,TRUE)</f>
        <v>3226</v>
      </c>
      <c r="P28" t="str">
        <f t="shared" si="42"/>
        <v>2873</v>
      </c>
    </row>
    <row r="29" spans="1:16">
      <c r="A29" s="245"/>
      <c r="B29" t="str">
        <f>VLOOKUP($C29,色!$A$2:$B$225,2,FALSE)</f>
        <v>#202020</v>
      </c>
      <c r="C29">
        <v>208</v>
      </c>
      <c r="D29" s="4" t="s">
        <v>290</v>
      </c>
      <c r="E29">
        <v>500</v>
      </c>
      <c r="F29">
        <v>140</v>
      </c>
      <c r="G29">
        <v>50</v>
      </c>
      <c r="H29">
        <v>45</v>
      </c>
      <c r="I29" s="2">
        <f t="shared" si="36"/>
        <v>32000</v>
      </c>
      <c r="J29" s="4">
        <f t="shared" si="37"/>
        <v>40960</v>
      </c>
      <c r="K29" s="2">
        <f t="shared" si="38"/>
        <v>3600</v>
      </c>
      <c r="L29" t="str">
        <f t="shared" si="39"/>
        <v>4608</v>
      </c>
      <c r="M29" s="4" t="str">
        <f t="shared" si="40"/>
        <v>4104</v>
      </c>
      <c r="N29" s="2">
        <f t="shared" si="41"/>
        <v>3240</v>
      </c>
      <c r="O29" t="str">
        <f>FIXED($N29*$J29/$I29,0,TRUE)</f>
        <v>4147</v>
      </c>
      <c r="P29" t="str">
        <f t="shared" si="42"/>
        <v>3694</v>
      </c>
    </row>
    <row r="30" spans="1:16">
      <c r="A30" s="244"/>
      <c r="B30" t="str">
        <f>VLOOKUP($C30,色!$A$2:$B$225,2,FALSE)</f>
        <v>#765B82</v>
      </c>
      <c r="C30">
        <v>107</v>
      </c>
      <c r="D30" s="4" t="s">
        <v>16</v>
      </c>
      <c r="E30">
        <v>25</v>
      </c>
      <c r="F30">
        <v>75</v>
      </c>
      <c r="G30">
        <v>15</v>
      </c>
      <c r="H30">
        <v>8</v>
      </c>
      <c r="I30" s="2">
        <f t="shared" si="36"/>
        <v>1600</v>
      </c>
      <c r="J30" s="4">
        <f t="shared" si="37"/>
        <v>6400</v>
      </c>
      <c r="K30" s="2">
        <f t="shared" si="38"/>
        <v>1080</v>
      </c>
      <c r="L30" t="str">
        <f t="shared" si="39"/>
        <v>4320</v>
      </c>
      <c r="M30" s="4" t="str">
        <f t="shared" si="40"/>
        <v>2700</v>
      </c>
      <c r="N30" s="2">
        <f t="shared" si="41"/>
        <v>576</v>
      </c>
      <c r="O30" t="str">
        <f>FIXED($N30*$J30/$I30,0,TRUE)</f>
        <v>2304</v>
      </c>
      <c r="P30" t="str">
        <f t="shared" si="42"/>
        <v>1440</v>
      </c>
    </row>
    <row r="31" spans="1:16">
      <c r="A31" s="246"/>
      <c r="B31" t="str">
        <f>VLOOKUP($C31,色!$A$2:$B$225,2,FALSE)</f>
        <v>#606060</v>
      </c>
      <c r="C31">
        <v>212</v>
      </c>
      <c r="D31" s="4" t="s">
        <v>292</v>
      </c>
      <c r="E31">
        <v>15</v>
      </c>
      <c r="F31">
        <v>1</v>
      </c>
      <c r="G31">
        <v>3</v>
      </c>
      <c r="H31">
        <v>1</v>
      </c>
      <c r="I31" s="2">
        <f t="shared" si="36"/>
        <v>960</v>
      </c>
      <c r="J31" s="4">
        <f t="shared" si="37"/>
        <v>1024</v>
      </c>
      <c r="K31" s="2">
        <f t="shared" si="38"/>
        <v>216</v>
      </c>
      <c r="L31" t="str">
        <f t="shared" si="39"/>
        <v>230</v>
      </c>
      <c r="M31" s="4" t="str">
        <f t="shared" si="40"/>
        <v>223</v>
      </c>
      <c r="N31" s="2">
        <f t="shared" si="41"/>
        <v>72</v>
      </c>
      <c r="O31" t="str">
        <f>FIXED($N31*$J31/$I31,0,TRUE)</f>
        <v>77</v>
      </c>
      <c r="P31" t="str">
        <f t="shared" si="42"/>
        <v>75</v>
      </c>
    </row>
    <row r="32" spans="1:16">
      <c r="A32" s="246"/>
      <c r="B32" t="str">
        <f>VLOOKUP($C32,色!$A$2:$B$225,2,FALSE)</f>
        <v>#606060</v>
      </c>
      <c r="C32">
        <v>212</v>
      </c>
      <c r="D32" s="4" t="s">
        <v>293</v>
      </c>
      <c r="E32">
        <v>25</v>
      </c>
      <c r="F32">
        <v>5</v>
      </c>
      <c r="G32">
        <v>6</v>
      </c>
      <c r="H32">
        <v>2</v>
      </c>
      <c r="I32" s="2">
        <f t="shared" si="36"/>
        <v>1600</v>
      </c>
      <c r="J32" s="4">
        <f t="shared" si="37"/>
        <v>1920</v>
      </c>
      <c r="K32" s="2">
        <f t="shared" si="38"/>
        <v>432</v>
      </c>
      <c r="L32" t="str">
        <f t="shared" si="39"/>
        <v>518</v>
      </c>
      <c r="M32" s="4" t="str">
        <f t="shared" si="40"/>
        <v>475</v>
      </c>
      <c r="N32" s="2">
        <f t="shared" si="41"/>
        <v>144</v>
      </c>
      <c r="O32" t="str">
        <f>FIXED($N32*$J32/$I32,0,TRUE)</f>
        <v>173</v>
      </c>
      <c r="P32" t="str">
        <f t="shared" si="42"/>
        <v>159</v>
      </c>
    </row>
    <row r="33" spans="4:16">
      <c r="D33" s="4" t="s">
        <v>33</v>
      </c>
    </row>
    <row r="34" spans="4:16">
      <c r="D34" s="4" t="s">
        <v>11</v>
      </c>
      <c r="E34">
        <v>450</v>
      </c>
      <c r="F34">
        <v>150</v>
      </c>
      <c r="G34">
        <v>50</v>
      </c>
      <c r="H34">
        <v>17</v>
      </c>
      <c r="I34" s="2">
        <f t="shared" ref="I34" si="43">IF($E34="",14*64,$E34*64)</f>
        <v>28800</v>
      </c>
      <c r="J34" s="4">
        <f t="shared" ref="J34" si="44">IF($E34="",(14+$F34)*64,($E34+$F34)*64)</f>
        <v>38400</v>
      </c>
      <c r="K34" s="2">
        <f t="shared" ref="K34:K35" si="45">G34*72</f>
        <v>3600</v>
      </c>
      <c r="L34" t="str">
        <f>FIXED($K34*$J34/$I34,0,TRUE)</f>
        <v>4800</v>
      </c>
      <c r="M34" s="4" t="str">
        <f t="shared" ref="M34:M35" si="46">FIXED(($K34+$L34)/2,0,TRUE)</f>
        <v>4200</v>
      </c>
      <c r="N34" s="2">
        <f t="shared" ref="N34:N35" si="47">IF($H34="",$G34/3*72,$H34*72)</f>
        <v>1224</v>
      </c>
      <c r="O34" t="str">
        <f>FIXED($N34*$J34/$I34,0,TRUE)</f>
        <v>1632</v>
      </c>
      <c r="P34" t="str">
        <f t="shared" ref="P34:P35" si="48">FIXED(($N34+$O34)/2,0,TRUE)</f>
        <v>1428</v>
      </c>
    </row>
    <row r="35" spans="4:16">
      <c r="D35" s="4" t="s">
        <v>12</v>
      </c>
      <c r="E35">
        <v>32</v>
      </c>
      <c r="F35">
        <v>64</v>
      </c>
      <c r="G35">
        <v>15</v>
      </c>
      <c r="H35">
        <v>5</v>
      </c>
      <c r="I35" s="2">
        <f>IF($E35="",14*64,$E35*64)</f>
        <v>2048</v>
      </c>
      <c r="J35" s="4">
        <f>IF($E35="",(14+$F35)*64,($E35+$F35)*64)</f>
        <v>6144</v>
      </c>
      <c r="K35" s="2">
        <f t="shared" si="45"/>
        <v>1080</v>
      </c>
      <c r="L35" t="str">
        <f>FIXED($K35*$J35/$I35,0,TRUE)</f>
        <v>3240</v>
      </c>
      <c r="M35" s="4" t="str">
        <f t="shared" si="46"/>
        <v>2160</v>
      </c>
      <c r="N35" s="2">
        <f t="shared" si="47"/>
        <v>360</v>
      </c>
      <c r="O35" t="str">
        <f>FIXED($N35*$J35/$I35,0,TRUE)</f>
        <v>1080</v>
      </c>
      <c r="P35" t="str">
        <f t="shared" si="48"/>
        <v>720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0F1B2-CB39-42F5-A16E-826A07F4787A}">
  <dimension ref="A1:E2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8.75"/>
  <cols>
    <col min="1" max="1" width="27.25" style="4" bestFit="1" customWidth="1"/>
    <col min="2" max="2" width="12.875" bestFit="1" customWidth="1"/>
    <col min="3" max="3" width="6.5" bestFit="1" customWidth="1"/>
    <col min="4" max="4" width="7.25" bestFit="1" customWidth="1"/>
    <col min="5" max="5" width="11" bestFit="1" customWidth="1"/>
  </cols>
  <sheetData>
    <row r="1" spans="1:5" s="5" customFormat="1">
      <c r="A1" s="6" t="s">
        <v>39</v>
      </c>
      <c r="B1" s="5" t="s">
        <v>40</v>
      </c>
      <c r="C1" s="5" t="s">
        <v>41</v>
      </c>
      <c r="D1" s="5" t="s">
        <v>42</v>
      </c>
      <c r="E1" s="5" t="s">
        <v>43</v>
      </c>
    </row>
    <row r="2" spans="1:5">
      <c r="A2" s="4" t="s">
        <v>289</v>
      </c>
      <c r="B2" t="s">
        <v>44</v>
      </c>
      <c r="C2">
        <v>3</v>
      </c>
      <c r="D2" t="s">
        <v>280</v>
      </c>
      <c r="E2">
        <v>25</v>
      </c>
    </row>
    <row r="3" spans="1:5">
      <c r="A3" s="4" t="s">
        <v>282</v>
      </c>
      <c r="B3" t="s">
        <v>47</v>
      </c>
      <c r="C3">
        <v>3</v>
      </c>
      <c r="D3" t="s">
        <v>283</v>
      </c>
      <c r="E3">
        <v>30</v>
      </c>
    </row>
    <row r="4" spans="1:5">
      <c r="A4" s="4" t="s">
        <v>286</v>
      </c>
      <c r="B4" t="s">
        <v>47</v>
      </c>
      <c r="C4">
        <v>3</v>
      </c>
      <c r="D4" t="s">
        <v>287</v>
      </c>
      <c r="E4">
        <v>8</v>
      </c>
    </row>
    <row r="5" spans="1:5">
      <c r="A5" s="4" t="s">
        <v>19</v>
      </c>
      <c r="B5" t="s">
        <v>45</v>
      </c>
      <c r="C5">
        <v>3</v>
      </c>
      <c r="D5" t="s">
        <v>52</v>
      </c>
      <c r="E5">
        <v>16</v>
      </c>
    </row>
    <row r="6" spans="1:5">
      <c r="A6" s="4" t="s">
        <v>23</v>
      </c>
      <c r="B6" t="s">
        <v>48</v>
      </c>
      <c r="C6">
        <v>3</v>
      </c>
      <c r="D6" t="s">
        <v>51</v>
      </c>
      <c r="E6">
        <v>64</v>
      </c>
    </row>
    <row r="7" spans="1:5">
      <c r="A7" s="4" t="s">
        <v>16</v>
      </c>
      <c r="B7" t="s">
        <v>49</v>
      </c>
      <c r="C7">
        <v>3</v>
      </c>
      <c r="D7" t="s">
        <v>51</v>
      </c>
      <c r="E7">
        <v>64</v>
      </c>
    </row>
    <row r="8" spans="1:5">
      <c r="A8" s="4" t="s">
        <v>291</v>
      </c>
      <c r="B8" t="s">
        <v>49</v>
      </c>
      <c r="C8">
        <v>3</v>
      </c>
      <c r="D8" t="s">
        <v>283</v>
      </c>
      <c r="E8">
        <v>56</v>
      </c>
    </row>
    <row r="9" spans="1:5">
      <c r="A9" s="4" t="s">
        <v>12</v>
      </c>
      <c r="B9" t="s">
        <v>50</v>
      </c>
      <c r="C9">
        <v>3</v>
      </c>
      <c r="D9" t="s">
        <v>51</v>
      </c>
      <c r="E9">
        <v>64</v>
      </c>
    </row>
    <row r="10" spans="1:5">
      <c r="A10" s="4" t="s">
        <v>26</v>
      </c>
      <c r="B10" t="s">
        <v>44</v>
      </c>
      <c r="C10">
        <v>2</v>
      </c>
      <c r="D10" t="s">
        <v>52</v>
      </c>
      <c r="E10">
        <v>25</v>
      </c>
    </row>
    <row r="11" spans="1:5">
      <c r="A11" s="4" t="s">
        <v>27</v>
      </c>
      <c r="B11" t="s">
        <v>44</v>
      </c>
      <c r="C11">
        <v>2</v>
      </c>
      <c r="D11" t="s">
        <v>52</v>
      </c>
      <c r="E11">
        <v>25</v>
      </c>
    </row>
    <row r="12" spans="1:5">
      <c r="A12" s="4" t="s">
        <v>25</v>
      </c>
      <c r="B12" t="s">
        <v>46</v>
      </c>
      <c r="C12">
        <v>2</v>
      </c>
      <c r="D12" t="s">
        <v>52</v>
      </c>
      <c r="E12">
        <v>32</v>
      </c>
    </row>
    <row r="13" spans="1:5">
      <c r="A13" s="4" t="s">
        <v>36</v>
      </c>
      <c r="B13" t="s">
        <v>47</v>
      </c>
      <c r="C13">
        <v>2</v>
      </c>
      <c r="D13" t="s">
        <v>52</v>
      </c>
      <c r="E13">
        <v>50</v>
      </c>
    </row>
    <row r="14" spans="1:5">
      <c r="A14" s="4" t="s">
        <v>279</v>
      </c>
      <c r="B14" t="s">
        <v>47</v>
      </c>
      <c r="C14">
        <v>2</v>
      </c>
      <c r="D14" t="s">
        <v>280</v>
      </c>
      <c r="E14">
        <v>25</v>
      </c>
    </row>
    <row r="15" spans="1:5">
      <c r="A15" s="4" t="s">
        <v>22</v>
      </c>
      <c r="B15" t="s">
        <v>48</v>
      </c>
      <c r="C15">
        <v>2</v>
      </c>
      <c r="D15" t="s">
        <v>51</v>
      </c>
      <c r="E15">
        <v>40</v>
      </c>
    </row>
    <row r="16" spans="1:5">
      <c r="A16" s="4" t="s">
        <v>21</v>
      </c>
      <c r="B16" t="s">
        <v>48</v>
      </c>
      <c r="C16">
        <v>2</v>
      </c>
      <c r="D16" t="s">
        <v>52</v>
      </c>
      <c r="E16">
        <v>32</v>
      </c>
    </row>
    <row r="17" spans="1:5">
      <c r="A17" s="4" t="s">
        <v>13</v>
      </c>
      <c r="B17" t="s">
        <v>49</v>
      </c>
      <c r="C17">
        <v>2</v>
      </c>
      <c r="D17" t="s">
        <v>52</v>
      </c>
      <c r="E17">
        <v>32</v>
      </c>
    </row>
    <row r="18" spans="1:5">
      <c r="A18" s="4" t="s">
        <v>14</v>
      </c>
      <c r="B18" t="s">
        <v>49</v>
      </c>
      <c r="C18">
        <v>2</v>
      </c>
      <c r="D18" t="s">
        <v>51</v>
      </c>
      <c r="E18">
        <v>16</v>
      </c>
    </row>
    <row r="19" spans="1:5">
      <c r="A19" s="4" t="s">
        <v>15</v>
      </c>
      <c r="B19" t="s">
        <v>49</v>
      </c>
      <c r="C19">
        <v>2</v>
      </c>
      <c r="D19" t="s">
        <v>52</v>
      </c>
      <c r="E19">
        <v>16</v>
      </c>
    </row>
    <row r="20" spans="1:5">
      <c r="A20" s="4" t="s">
        <v>290</v>
      </c>
      <c r="B20" t="s">
        <v>49</v>
      </c>
      <c r="C20">
        <v>2</v>
      </c>
      <c r="D20" t="s">
        <v>283</v>
      </c>
      <c r="E20">
        <v>16</v>
      </c>
    </row>
    <row r="21" spans="1:5">
      <c r="A21" s="4" t="s">
        <v>11</v>
      </c>
      <c r="B21" t="s">
        <v>50</v>
      </c>
      <c r="C21">
        <v>2</v>
      </c>
      <c r="D21" t="s">
        <v>51</v>
      </c>
      <c r="E21">
        <v>16</v>
      </c>
    </row>
    <row r="22" spans="1:5">
      <c r="A22" s="4" t="s">
        <v>10</v>
      </c>
      <c r="B22" t="s">
        <v>44</v>
      </c>
      <c r="C22">
        <v>1</v>
      </c>
      <c r="D22" t="s">
        <v>51</v>
      </c>
      <c r="E22">
        <v>48</v>
      </c>
    </row>
    <row r="23" spans="1:5">
      <c r="A23" s="4" t="s">
        <v>24</v>
      </c>
      <c r="B23" t="s">
        <v>46</v>
      </c>
      <c r="C23">
        <v>1</v>
      </c>
      <c r="D23" t="s">
        <v>52</v>
      </c>
      <c r="E23">
        <v>16</v>
      </c>
    </row>
    <row r="24" spans="1:5">
      <c r="A24" s="4" t="s">
        <v>35</v>
      </c>
      <c r="B24" t="s">
        <v>47</v>
      </c>
      <c r="C24">
        <v>1</v>
      </c>
      <c r="D24" t="s">
        <v>52</v>
      </c>
      <c r="E24">
        <v>50</v>
      </c>
    </row>
    <row r="25" spans="1:5">
      <c r="A25" s="4" t="s">
        <v>18</v>
      </c>
      <c r="B25" t="s">
        <v>45</v>
      </c>
      <c r="C25">
        <v>1</v>
      </c>
      <c r="D25" t="s">
        <v>52</v>
      </c>
      <c r="E25">
        <v>32</v>
      </c>
    </row>
    <row r="26" spans="1:5">
      <c r="A26" s="4" t="s">
        <v>17</v>
      </c>
      <c r="B26" t="s">
        <v>45</v>
      </c>
      <c r="C26">
        <v>1</v>
      </c>
      <c r="D26" t="s">
        <v>52</v>
      </c>
      <c r="E26">
        <v>16</v>
      </c>
    </row>
    <row r="27" spans="1:5">
      <c r="A27" s="4" t="s">
        <v>20</v>
      </c>
      <c r="B27" t="s">
        <v>48</v>
      </c>
      <c r="C27">
        <v>1</v>
      </c>
      <c r="D27" t="s">
        <v>52</v>
      </c>
      <c r="E27">
        <v>16</v>
      </c>
    </row>
  </sheetData>
  <autoFilter ref="A1:E23" xr:uid="{7B90F1B2-CB39-42F5-A16E-826A07F4787A}">
    <sortState xmlns:xlrd2="http://schemas.microsoft.com/office/spreadsheetml/2017/richdata2" ref="A2:E23">
      <sortCondition descending="1" ref="C2:C23"/>
      <sortCondition ref="B2:B23"/>
    </sortState>
  </autoFilter>
  <sortState xmlns:xlrd2="http://schemas.microsoft.com/office/spreadsheetml/2017/richdata2" ref="A2:E27">
    <sortCondition descending="1" ref="C2:C27"/>
    <sortCondition ref="B2:B27"/>
    <sortCondition descending="1" ref="E2:E27"/>
  </sortState>
  <phoneticPr fontId="1"/>
  <dataValidations count="1">
    <dataValidation type="list" allowBlank="1" showInputMessage="1" showErrorMessage="1" sqref="D2:D1048576" xr:uid="{F76459EF-682C-47C5-AD48-963FFE91BB9A}">
      <formula1>"Land,City,Water,river,shore,forest"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AD267-DF44-4F20-B4A4-32644AE8A554}">
  <dimension ref="A1:C225"/>
  <sheetViews>
    <sheetView workbookViewId="0">
      <pane ySplit="1" topLeftCell="A200" activePane="bottomLeft" state="frozen"/>
      <selection pane="bottomLeft" activeCell="A220" sqref="A220"/>
    </sheetView>
  </sheetViews>
  <sheetFormatPr defaultRowHeight="18.75"/>
  <cols>
    <col min="1" max="1" width="7.125" bestFit="1" customWidth="1"/>
    <col min="2" max="2" width="13" style="8" bestFit="1" customWidth="1"/>
    <col min="3" max="3" width="3.375" style="9" bestFit="1" customWidth="1"/>
  </cols>
  <sheetData>
    <row r="1" spans="1:3">
      <c r="A1" t="s">
        <v>55</v>
      </c>
      <c r="B1" s="8" t="s">
        <v>56</v>
      </c>
      <c r="C1" s="9" t="s">
        <v>54</v>
      </c>
    </row>
    <row r="2" spans="1:3">
      <c r="A2">
        <v>0</v>
      </c>
      <c r="B2" s="8" t="s">
        <v>57</v>
      </c>
      <c r="C2" s="10"/>
    </row>
    <row r="3" spans="1:3">
      <c r="A3">
        <v>1</v>
      </c>
      <c r="B3" s="8" t="s">
        <v>58</v>
      </c>
      <c r="C3" s="11"/>
    </row>
    <row r="4" spans="1:3">
      <c r="A4">
        <v>2</v>
      </c>
      <c r="B4" s="8" t="s">
        <v>59</v>
      </c>
      <c r="C4" s="12"/>
    </row>
    <row r="5" spans="1:3">
      <c r="A5">
        <v>3</v>
      </c>
      <c r="B5" s="8" t="s">
        <v>60</v>
      </c>
      <c r="C5" s="13"/>
    </row>
    <row r="6" spans="1:3">
      <c r="A6">
        <v>4</v>
      </c>
      <c r="B6" s="8" t="s">
        <v>61</v>
      </c>
      <c r="C6" s="14"/>
    </row>
    <row r="7" spans="1:3">
      <c r="A7">
        <v>5</v>
      </c>
      <c r="B7" s="8" t="s">
        <v>62</v>
      </c>
      <c r="C7" s="15"/>
    </row>
    <row r="8" spans="1:3">
      <c r="A8">
        <v>6</v>
      </c>
      <c r="B8" s="8" t="s">
        <v>63</v>
      </c>
      <c r="C8" s="16"/>
    </row>
    <row r="9" spans="1:3">
      <c r="A9">
        <v>7</v>
      </c>
      <c r="B9" s="8" t="s">
        <v>64</v>
      </c>
      <c r="C9" s="17"/>
    </row>
    <row r="10" spans="1:3">
      <c r="A10">
        <v>8</v>
      </c>
      <c r="B10" s="8" t="s">
        <v>65</v>
      </c>
      <c r="C10" s="18"/>
    </row>
    <row r="11" spans="1:3">
      <c r="A11">
        <v>9</v>
      </c>
      <c r="B11" s="8" t="s">
        <v>66</v>
      </c>
      <c r="C11" s="19"/>
    </row>
    <row r="12" spans="1:3">
      <c r="A12">
        <v>10</v>
      </c>
      <c r="B12" s="8" t="s">
        <v>67</v>
      </c>
      <c r="C12" s="20"/>
    </row>
    <row r="13" spans="1:3">
      <c r="A13">
        <v>11</v>
      </c>
      <c r="B13" s="8" t="s">
        <v>68</v>
      </c>
      <c r="C13" s="21"/>
    </row>
    <row r="14" spans="1:3">
      <c r="A14">
        <v>12</v>
      </c>
      <c r="B14" s="8" t="s">
        <v>69</v>
      </c>
      <c r="C14" s="22"/>
    </row>
    <row r="15" spans="1:3">
      <c r="A15">
        <v>13</v>
      </c>
      <c r="B15" s="8" t="s">
        <v>70</v>
      </c>
      <c r="C15" s="23"/>
    </row>
    <row r="16" spans="1:3">
      <c r="A16">
        <v>14</v>
      </c>
      <c r="B16" s="8" t="s">
        <v>71</v>
      </c>
      <c r="C16" s="24"/>
    </row>
    <row r="17" spans="1:3">
      <c r="A17">
        <v>15</v>
      </c>
      <c r="B17" s="8" t="s">
        <v>72</v>
      </c>
      <c r="C17" s="25"/>
    </row>
    <row r="18" spans="1:3">
      <c r="A18">
        <v>16</v>
      </c>
      <c r="B18" s="8" t="s">
        <v>73</v>
      </c>
      <c r="C18" s="26"/>
    </row>
    <row r="19" spans="1:3">
      <c r="A19">
        <v>17</v>
      </c>
      <c r="B19" s="8" t="s">
        <v>74</v>
      </c>
      <c r="C19" s="27"/>
    </row>
    <row r="20" spans="1:3">
      <c r="A20">
        <v>18</v>
      </c>
      <c r="B20" s="8" t="s">
        <v>75</v>
      </c>
      <c r="C20" s="28"/>
    </row>
    <row r="21" spans="1:3">
      <c r="A21">
        <v>19</v>
      </c>
      <c r="B21" s="8" t="s">
        <v>76</v>
      </c>
      <c r="C21" s="29"/>
    </row>
    <row r="22" spans="1:3">
      <c r="A22">
        <v>20</v>
      </c>
      <c r="B22" s="8" t="s">
        <v>77</v>
      </c>
      <c r="C22" s="30"/>
    </row>
    <row r="23" spans="1:3">
      <c r="A23">
        <v>21</v>
      </c>
      <c r="B23" s="8" t="s">
        <v>78</v>
      </c>
      <c r="C23" s="31"/>
    </row>
    <row r="24" spans="1:3">
      <c r="A24">
        <v>22</v>
      </c>
      <c r="B24" s="8" t="s">
        <v>79</v>
      </c>
      <c r="C24" s="32"/>
    </row>
    <row r="25" spans="1:3">
      <c r="A25">
        <v>23</v>
      </c>
      <c r="B25" s="8" t="s">
        <v>80</v>
      </c>
      <c r="C25" s="33"/>
    </row>
    <row r="26" spans="1:3">
      <c r="A26">
        <v>24</v>
      </c>
      <c r="B26" s="8" t="s">
        <v>81</v>
      </c>
      <c r="C26" s="34"/>
    </row>
    <row r="27" spans="1:3">
      <c r="A27">
        <v>25</v>
      </c>
      <c r="B27" s="8" t="s">
        <v>82</v>
      </c>
      <c r="C27" s="35"/>
    </row>
    <row r="28" spans="1:3">
      <c r="A28">
        <v>26</v>
      </c>
      <c r="B28" s="8" t="s">
        <v>83</v>
      </c>
      <c r="C28" s="36"/>
    </row>
    <row r="29" spans="1:3">
      <c r="A29">
        <v>27</v>
      </c>
      <c r="B29" s="8" t="s">
        <v>84</v>
      </c>
      <c r="C29" s="37"/>
    </row>
    <row r="30" spans="1:3">
      <c r="A30">
        <v>28</v>
      </c>
      <c r="B30" s="8" t="s">
        <v>85</v>
      </c>
      <c r="C30" s="38"/>
    </row>
    <row r="31" spans="1:3">
      <c r="A31">
        <v>29</v>
      </c>
      <c r="B31" s="8" t="s">
        <v>86</v>
      </c>
      <c r="C31" s="39"/>
    </row>
    <row r="32" spans="1:3">
      <c r="A32">
        <v>30</v>
      </c>
      <c r="B32" s="8" t="s">
        <v>87</v>
      </c>
      <c r="C32" s="40"/>
    </row>
    <row r="33" spans="1:3">
      <c r="A33">
        <v>31</v>
      </c>
      <c r="B33" s="8" t="s">
        <v>88</v>
      </c>
      <c r="C33" s="41"/>
    </row>
    <row r="34" spans="1:3">
      <c r="A34">
        <v>32</v>
      </c>
      <c r="B34" s="8" t="s">
        <v>89</v>
      </c>
      <c r="C34" s="42"/>
    </row>
    <row r="35" spans="1:3">
      <c r="A35">
        <v>33</v>
      </c>
      <c r="B35" s="8" t="s">
        <v>90</v>
      </c>
      <c r="C35" s="43"/>
    </row>
    <row r="36" spans="1:3">
      <c r="A36">
        <v>34</v>
      </c>
      <c r="B36" s="8" t="s">
        <v>91</v>
      </c>
      <c r="C36" s="44"/>
    </row>
    <row r="37" spans="1:3">
      <c r="A37">
        <v>35</v>
      </c>
      <c r="B37" s="8" t="s">
        <v>92</v>
      </c>
      <c r="C37" s="45"/>
    </row>
    <row r="38" spans="1:3">
      <c r="A38">
        <v>36</v>
      </c>
      <c r="B38" s="8" t="s">
        <v>93</v>
      </c>
      <c r="C38" s="46"/>
    </row>
    <row r="39" spans="1:3">
      <c r="A39">
        <v>37</v>
      </c>
      <c r="B39" s="8" t="s">
        <v>94</v>
      </c>
      <c r="C39" s="47"/>
    </row>
    <row r="40" spans="1:3">
      <c r="A40">
        <v>38</v>
      </c>
      <c r="B40" s="8" t="s">
        <v>95</v>
      </c>
      <c r="C40" s="48"/>
    </row>
    <row r="41" spans="1:3">
      <c r="A41">
        <v>39</v>
      </c>
      <c r="B41" s="8" t="s">
        <v>96</v>
      </c>
      <c r="C41" s="49"/>
    </row>
    <row r="42" spans="1:3">
      <c r="A42">
        <v>40</v>
      </c>
      <c r="B42" s="8" t="s">
        <v>97</v>
      </c>
      <c r="C42" s="50"/>
    </row>
    <row r="43" spans="1:3">
      <c r="A43">
        <v>41</v>
      </c>
      <c r="B43" s="8" t="s">
        <v>98</v>
      </c>
      <c r="C43" s="51"/>
    </row>
    <row r="44" spans="1:3">
      <c r="A44">
        <v>42</v>
      </c>
      <c r="B44" s="8" t="s">
        <v>99</v>
      </c>
      <c r="C44" s="52"/>
    </row>
    <row r="45" spans="1:3">
      <c r="A45">
        <v>43</v>
      </c>
      <c r="B45" s="8" t="s">
        <v>100</v>
      </c>
      <c r="C45" s="53"/>
    </row>
    <row r="46" spans="1:3">
      <c r="A46">
        <v>44</v>
      </c>
      <c r="B46" s="8" t="s">
        <v>101</v>
      </c>
      <c r="C46" s="54"/>
    </row>
    <row r="47" spans="1:3">
      <c r="A47">
        <v>45</v>
      </c>
      <c r="B47" s="8" t="s">
        <v>102</v>
      </c>
      <c r="C47" s="55"/>
    </row>
    <row r="48" spans="1:3">
      <c r="A48">
        <v>46</v>
      </c>
      <c r="B48" s="8" t="s">
        <v>103</v>
      </c>
      <c r="C48" s="56"/>
    </row>
    <row r="49" spans="1:3">
      <c r="A49">
        <v>47</v>
      </c>
      <c r="B49" s="8" t="s">
        <v>104</v>
      </c>
      <c r="C49" s="57"/>
    </row>
    <row r="50" spans="1:3">
      <c r="A50">
        <v>48</v>
      </c>
      <c r="B50" s="8" t="s">
        <v>105</v>
      </c>
      <c r="C50" s="58"/>
    </row>
    <row r="51" spans="1:3">
      <c r="A51">
        <v>49</v>
      </c>
      <c r="B51" s="8" t="s">
        <v>106</v>
      </c>
      <c r="C51" s="59"/>
    </row>
    <row r="52" spans="1:3">
      <c r="A52">
        <v>50</v>
      </c>
      <c r="B52" s="8" t="s">
        <v>107</v>
      </c>
      <c r="C52" s="60"/>
    </row>
    <row r="53" spans="1:3">
      <c r="A53">
        <v>51</v>
      </c>
      <c r="B53" s="8" t="s">
        <v>108</v>
      </c>
      <c r="C53" s="61"/>
    </row>
    <row r="54" spans="1:3">
      <c r="A54">
        <v>52</v>
      </c>
      <c r="B54" s="8" t="s">
        <v>109</v>
      </c>
      <c r="C54" s="62"/>
    </row>
    <row r="55" spans="1:3">
      <c r="A55">
        <v>53</v>
      </c>
      <c r="B55" s="8" t="s">
        <v>110</v>
      </c>
      <c r="C55" s="63"/>
    </row>
    <row r="56" spans="1:3">
      <c r="A56">
        <v>54</v>
      </c>
      <c r="B56" s="8" t="s">
        <v>111</v>
      </c>
      <c r="C56" s="64"/>
    </row>
    <row r="57" spans="1:3">
      <c r="A57">
        <v>55</v>
      </c>
      <c r="B57" s="8" t="s">
        <v>112</v>
      </c>
      <c r="C57" s="65"/>
    </row>
    <row r="58" spans="1:3">
      <c r="A58">
        <v>56</v>
      </c>
      <c r="B58" s="8" t="s">
        <v>113</v>
      </c>
      <c r="C58" s="66"/>
    </row>
    <row r="59" spans="1:3">
      <c r="A59">
        <v>57</v>
      </c>
      <c r="B59" s="8" t="s">
        <v>114</v>
      </c>
      <c r="C59" s="67"/>
    </row>
    <row r="60" spans="1:3">
      <c r="A60">
        <v>58</v>
      </c>
      <c r="B60" s="8" t="s">
        <v>115</v>
      </c>
      <c r="C60" s="68"/>
    </row>
    <row r="61" spans="1:3">
      <c r="A61">
        <v>59</v>
      </c>
      <c r="B61" s="8" t="s">
        <v>116</v>
      </c>
      <c r="C61" s="69"/>
    </row>
    <row r="62" spans="1:3">
      <c r="A62">
        <v>60</v>
      </c>
      <c r="B62" s="8" t="s">
        <v>117</v>
      </c>
      <c r="C62" s="70"/>
    </row>
    <row r="63" spans="1:3">
      <c r="A63">
        <v>61</v>
      </c>
      <c r="B63" s="8" t="s">
        <v>118</v>
      </c>
      <c r="C63" s="71"/>
    </row>
    <row r="64" spans="1:3">
      <c r="A64">
        <v>62</v>
      </c>
      <c r="B64" s="8" t="s">
        <v>119</v>
      </c>
      <c r="C64" s="72"/>
    </row>
    <row r="65" spans="1:3">
      <c r="A65">
        <v>63</v>
      </c>
      <c r="B65" s="8" t="s">
        <v>120</v>
      </c>
      <c r="C65" s="73"/>
    </row>
    <row r="66" spans="1:3">
      <c r="A66">
        <v>64</v>
      </c>
      <c r="B66" s="8" t="s">
        <v>121</v>
      </c>
      <c r="C66" s="74"/>
    </row>
    <row r="67" spans="1:3">
      <c r="A67">
        <v>65</v>
      </c>
      <c r="B67" s="8" t="s">
        <v>122</v>
      </c>
      <c r="C67" s="75"/>
    </row>
    <row r="68" spans="1:3">
      <c r="A68">
        <v>66</v>
      </c>
      <c r="B68" s="8" t="s">
        <v>123</v>
      </c>
      <c r="C68" s="76"/>
    </row>
    <row r="69" spans="1:3">
      <c r="A69">
        <v>67</v>
      </c>
      <c r="B69" s="8" t="s">
        <v>124</v>
      </c>
      <c r="C69" s="77"/>
    </row>
    <row r="70" spans="1:3">
      <c r="A70">
        <v>68</v>
      </c>
      <c r="B70" s="8" t="s">
        <v>125</v>
      </c>
      <c r="C70" s="78"/>
    </row>
    <row r="71" spans="1:3">
      <c r="A71">
        <v>69</v>
      </c>
      <c r="B71" s="8" t="s">
        <v>126</v>
      </c>
      <c r="C71" s="79"/>
    </row>
    <row r="72" spans="1:3">
      <c r="A72">
        <v>70</v>
      </c>
      <c r="B72" s="8" t="s">
        <v>127</v>
      </c>
      <c r="C72" s="80"/>
    </row>
    <row r="73" spans="1:3">
      <c r="A73">
        <v>71</v>
      </c>
      <c r="B73" s="8" t="s">
        <v>128</v>
      </c>
      <c r="C73" s="81"/>
    </row>
    <row r="74" spans="1:3">
      <c r="A74">
        <v>72</v>
      </c>
      <c r="B74" s="8" t="s">
        <v>129</v>
      </c>
      <c r="C74" s="82"/>
    </row>
    <row r="75" spans="1:3">
      <c r="A75">
        <v>73</v>
      </c>
      <c r="B75" s="8" t="s">
        <v>130</v>
      </c>
      <c r="C75" s="83"/>
    </row>
    <row r="76" spans="1:3">
      <c r="A76">
        <v>74</v>
      </c>
      <c r="B76" s="8" t="s">
        <v>131</v>
      </c>
      <c r="C76" s="84"/>
    </row>
    <row r="77" spans="1:3">
      <c r="A77">
        <v>75</v>
      </c>
      <c r="B77" s="8" t="s">
        <v>132</v>
      </c>
      <c r="C77" s="85"/>
    </row>
    <row r="78" spans="1:3">
      <c r="A78">
        <v>76</v>
      </c>
      <c r="B78" s="8" t="s">
        <v>133</v>
      </c>
      <c r="C78" s="86"/>
    </row>
    <row r="79" spans="1:3">
      <c r="A79">
        <v>77</v>
      </c>
      <c r="B79" s="8" t="s">
        <v>134</v>
      </c>
      <c r="C79" s="87"/>
    </row>
    <row r="80" spans="1:3">
      <c r="A80">
        <v>78</v>
      </c>
      <c r="B80" s="8" t="s">
        <v>135</v>
      </c>
      <c r="C80" s="88"/>
    </row>
    <row r="81" spans="1:3">
      <c r="A81">
        <v>79</v>
      </c>
      <c r="B81" s="8" t="s">
        <v>136</v>
      </c>
      <c r="C81" s="89"/>
    </row>
    <row r="82" spans="1:3">
      <c r="A82">
        <v>80</v>
      </c>
      <c r="B82" s="8" t="s">
        <v>137</v>
      </c>
      <c r="C82" s="90"/>
    </row>
    <row r="83" spans="1:3">
      <c r="A83">
        <v>81</v>
      </c>
      <c r="B83" s="8" t="s">
        <v>138</v>
      </c>
      <c r="C83" s="91"/>
    </row>
    <row r="84" spans="1:3">
      <c r="A84">
        <v>82</v>
      </c>
      <c r="B84" s="8" t="s">
        <v>139</v>
      </c>
      <c r="C84" s="92"/>
    </row>
    <row r="85" spans="1:3">
      <c r="A85">
        <v>83</v>
      </c>
      <c r="B85" s="8" t="s">
        <v>140</v>
      </c>
      <c r="C85" s="93"/>
    </row>
    <row r="86" spans="1:3">
      <c r="A86">
        <v>84</v>
      </c>
      <c r="B86" s="8" t="s">
        <v>141</v>
      </c>
      <c r="C86" s="94"/>
    </row>
    <row r="87" spans="1:3">
      <c r="A87">
        <v>85</v>
      </c>
      <c r="B87" s="8" t="s">
        <v>142</v>
      </c>
      <c r="C87" s="95"/>
    </row>
    <row r="88" spans="1:3">
      <c r="A88">
        <v>86</v>
      </c>
      <c r="B88" s="8" t="s">
        <v>143</v>
      </c>
      <c r="C88" s="96"/>
    </row>
    <row r="89" spans="1:3">
      <c r="A89">
        <v>87</v>
      </c>
      <c r="B89" s="8" t="s">
        <v>144</v>
      </c>
      <c r="C89" s="97"/>
    </row>
    <row r="90" spans="1:3">
      <c r="A90">
        <v>88</v>
      </c>
      <c r="B90" s="8" t="s">
        <v>145</v>
      </c>
      <c r="C90" s="98"/>
    </row>
    <row r="91" spans="1:3">
      <c r="A91">
        <v>89</v>
      </c>
      <c r="B91" s="8" t="s">
        <v>146</v>
      </c>
      <c r="C91" s="99"/>
    </row>
    <row r="92" spans="1:3">
      <c r="A92">
        <v>90</v>
      </c>
      <c r="B92" s="8" t="s">
        <v>147</v>
      </c>
      <c r="C92" s="100"/>
    </row>
    <row r="93" spans="1:3">
      <c r="A93">
        <v>91</v>
      </c>
      <c r="B93" s="8" t="s">
        <v>148</v>
      </c>
      <c r="C93" s="101"/>
    </row>
    <row r="94" spans="1:3">
      <c r="A94">
        <v>92</v>
      </c>
      <c r="B94" s="8" t="s">
        <v>149</v>
      </c>
      <c r="C94" s="102"/>
    </row>
    <row r="95" spans="1:3">
      <c r="A95">
        <v>93</v>
      </c>
      <c r="B95" s="8" t="s">
        <v>150</v>
      </c>
      <c r="C95" s="103"/>
    </row>
    <row r="96" spans="1:3">
      <c r="A96">
        <v>94</v>
      </c>
      <c r="B96" s="8" t="s">
        <v>151</v>
      </c>
      <c r="C96" s="104"/>
    </row>
    <row r="97" spans="1:3">
      <c r="A97">
        <v>95</v>
      </c>
      <c r="B97" s="8" t="s">
        <v>152</v>
      </c>
      <c r="C97" s="105"/>
    </row>
    <row r="98" spans="1:3">
      <c r="A98">
        <v>96</v>
      </c>
      <c r="B98" s="8" t="s">
        <v>153</v>
      </c>
      <c r="C98" s="106"/>
    </row>
    <row r="99" spans="1:3">
      <c r="A99">
        <v>97</v>
      </c>
      <c r="B99" s="8" t="s">
        <v>154</v>
      </c>
      <c r="C99" s="107"/>
    </row>
    <row r="100" spans="1:3">
      <c r="A100">
        <v>98</v>
      </c>
      <c r="B100" s="8" t="s">
        <v>155</v>
      </c>
      <c r="C100" s="108"/>
    </row>
    <row r="101" spans="1:3">
      <c r="A101">
        <v>99</v>
      </c>
      <c r="B101" s="8" t="s">
        <v>156</v>
      </c>
      <c r="C101" s="109"/>
    </row>
    <row r="102" spans="1:3">
      <c r="A102">
        <v>100</v>
      </c>
      <c r="B102" s="8" t="s">
        <v>157</v>
      </c>
      <c r="C102" s="110"/>
    </row>
    <row r="103" spans="1:3">
      <c r="A103">
        <v>101</v>
      </c>
      <c r="B103" s="8" t="s">
        <v>158</v>
      </c>
      <c r="C103" s="111"/>
    </row>
    <row r="104" spans="1:3">
      <c r="A104">
        <v>102</v>
      </c>
      <c r="B104" s="8" t="s">
        <v>159</v>
      </c>
      <c r="C104" s="112"/>
    </row>
    <row r="105" spans="1:3">
      <c r="A105">
        <v>103</v>
      </c>
      <c r="B105" s="8" t="s">
        <v>160</v>
      </c>
      <c r="C105" s="113"/>
    </row>
    <row r="106" spans="1:3">
      <c r="A106">
        <v>104</v>
      </c>
      <c r="B106" s="8" t="s">
        <v>161</v>
      </c>
      <c r="C106" s="114"/>
    </row>
    <row r="107" spans="1:3">
      <c r="A107">
        <v>105</v>
      </c>
      <c r="B107" s="8" t="s">
        <v>162</v>
      </c>
      <c r="C107" s="115"/>
    </row>
    <row r="108" spans="1:3">
      <c r="A108">
        <v>106</v>
      </c>
      <c r="B108" s="8" t="s">
        <v>163</v>
      </c>
      <c r="C108" s="116"/>
    </row>
    <row r="109" spans="1:3">
      <c r="A109">
        <v>107</v>
      </c>
      <c r="B109" s="8" t="s">
        <v>164</v>
      </c>
      <c r="C109" s="117"/>
    </row>
    <row r="110" spans="1:3">
      <c r="A110">
        <v>108</v>
      </c>
      <c r="B110" s="8" t="s">
        <v>165</v>
      </c>
      <c r="C110" s="118"/>
    </row>
    <row r="111" spans="1:3">
      <c r="A111">
        <v>109</v>
      </c>
      <c r="B111" s="8" t="s">
        <v>166</v>
      </c>
      <c r="C111" s="119"/>
    </row>
    <row r="112" spans="1:3">
      <c r="A112">
        <v>110</v>
      </c>
      <c r="B112" s="8" t="s">
        <v>167</v>
      </c>
      <c r="C112" s="120"/>
    </row>
    <row r="113" spans="1:3">
      <c r="A113">
        <v>111</v>
      </c>
      <c r="B113" s="8" t="s">
        <v>168</v>
      </c>
      <c r="C113" s="121"/>
    </row>
    <row r="114" spans="1:3">
      <c r="A114">
        <v>112</v>
      </c>
      <c r="B114" s="8" t="s">
        <v>169</v>
      </c>
      <c r="C114" s="122"/>
    </row>
    <row r="115" spans="1:3">
      <c r="A115">
        <v>113</v>
      </c>
      <c r="B115" s="8" t="s">
        <v>170</v>
      </c>
      <c r="C115" s="123"/>
    </row>
    <row r="116" spans="1:3">
      <c r="A116">
        <v>114</v>
      </c>
      <c r="B116" s="8" t="s">
        <v>171</v>
      </c>
      <c r="C116" s="124"/>
    </row>
    <row r="117" spans="1:3">
      <c r="A117">
        <v>115</v>
      </c>
      <c r="B117" s="8" t="s">
        <v>172</v>
      </c>
      <c r="C117" s="125"/>
    </row>
    <row r="118" spans="1:3">
      <c r="A118">
        <v>116</v>
      </c>
      <c r="B118" s="8" t="s">
        <v>173</v>
      </c>
      <c r="C118" s="126"/>
    </row>
    <row r="119" spans="1:3">
      <c r="A119">
        <v>117</v>
      </c>
      <c r="B119" s="8" t="s">
        <v>174</v>
      </c>
      <c r="C119" s="127"/>
    </row>
    <row r="120" spans="1:3">
      <c r="A120">
        <v>118</v>
      </c>
      <c r="B120" s="8" t="s">
        <v>175</v>
      </c>
      <c r="C120" s="128"/>
    </row>
    <row r="121" spans="1:3">
      <c r="A121">
        <v>119</v>
      </c>
      <c r="B121" s="8" t="s">
        <v>176</v>
      </c>
      <c r="C121" s="129"/>
    </row>
    <row r="122" spans="1:3">
      <c r="A122">
        <v>120</v>
      </c>
      <c r="B122" s="8" t="s">
        <v>177</v>
      </c>
      <c r="C122" s="130"/>
    </row>
    <row r="123" spans="1:3">
      <c r="A123">
        <v>121</v>
      </c>
      <c r="B123" s="8" t="s">
        <v>178</v>
      </c>
      <c r="C123" s="131"/>
    </row>
    <row r="124" spans="1:3">
      <c r="A124">
        <v>122</v>
      </c>
      <c r="B124" s="8" t="s">
        <v>179</v>
      </c>
      <c r="C124" s="132"/>
    </row>
    <row r="125" spans="1:3">
      <c r="A125">
        <v>123</v>
      </c>
      <c r="B125" s="8" t="s">
        <v>180</v>
      </c>
      <c r="C125" s="133"/>
    </row>
    <row r="126" spans="1:3">
      <c r="A126">
        <v>124</v>
      </c>
      <c r="B126" s="8" t="s">
        <v>181</v>
      </c>
      <c r="C126" s="134"/>
    </row>
    <row r="127" spans="1:3">
      <c r="A127">
        <v>125</v>
      </c>
      <c r="B127" s="8" t="s">
        <v>182</v>
      </c>
      <c r="C127" s="135"/>
    </row>
    <row r="128" spans="1:3">
      <c r="A128">
        <v>126</v>
      </c>
      <c r="B128" s="8" t="s">
        <v>183</v>
      </c>
      <c r="C128" s="136"/>
    </row>
    <row r="129" spans="1:3">
      <c r="A129">
        <v>127</v>
      </c>
      <c r="B129" s="8" t="s">
        <v>184</v>
      </c>
      <c r="C129" s="137"/>
    </row>
    <row r="130" spans="1:3">
      <c r="A130">
        <v>128</v>
      </c>
      <c r="B130" s="8" t="s">
        <v>185</v>
      </c>
      <c r="C130" s="138"/>
    </row>
    <row r="131" spans="1:3">
      <c r="A131">
        <v>129</v>
      </c>
      <c r="B131" s="8" t="s">
        <v>186</v>
      </c>
      <c r="C131" s="139"/>
    </row>
    <row r="132" spans="1:3">
      <c r="A132">
        <v>130</v>
      </c>
      <c r="B132" s="8" t="s">
        <v>187</v>
      </c>
      <c r="C132" s="140"/>
    </row>
    <row r="133" spans="1:3">
      <c r="A133">
        <v>131</v>
      </c>
      <c r="B133" s="8" t="s">
        <v>188</v>
      </c>
      <c r="C133" s="141"/>
    </row>
    <row r="134" spans="1:3">
      <c r="A134">
        <v>132</v>
      </c>
      <c r="B134" s="8" t="s">
        <v>189</v>
      </c>
      <c r="C134" s="142"/>
    </row>
    <row r="135" spans="1:3">
      <c r="A135">
        <v>133</v>
      </c>
      <c r="B135" s="8" t="s">
        <v>190</v>
      </c>
      <c r="C135" s="143"/>
    </row>
    <row r="136" spans="1:3">
      <c r="A136">
        <v>134</v>
      </c>
      <c r="B136" s="8" t="s">
        <v>191</v>
      </c>
      <c r="C136" s="144"/>
    </row>
    <row r="137" spans="1:3">
      <c r="A137">
        <v>135</v>
      </c>
      <c r="B137" s="8" t="s">
        <v>192</v>
      </c>
      <c r="C137" s="145"/>
    </row>
    <row r="138" spans="1:3">
      <c r="A138">
        <v>136</v>
      </c>
      <c r="B138" s="8" t="s">
        <v>193</v>
      </c>
      <c r="C138" s="146"/>
    </row>
    <row r="139" spans="1:3">
      <c r="A139">
        <v>137</v>
      </c>
      <c r="B139" s="8" t="s">
        <v>194</v>
      </c>
      <c r="C139" s="147"/>
    </row>
    <row r="140" spans="1:3">
      <c r="A140">
        <v>138</v>
      </c>
      <c r="B140" s="8" t="s">
        <v>195</v>
      </c>
      <c r="C140" s="148"/>
    </row>
    <row r="141" spans="1:3">
      <c r="A141">
        <v>139</v>
      </c>
      <c r="B141" s="8" t="s">
        <v>196</v>
      </c>
      <c r="C141" s="149"/>
    </row>
    <row r="142" spans="1:3">
      <c r="A142">
        <v>140</v>
      </c>
      <c r="B142" s="8" t="s">
        <v>197</v>
      </c>
      <c r="C142" s="150"/>
    </row>
    <row r="143" spans="1:3">
      <c r="A143">
        <v>141</v>
      </c>
      <c r="B143" s="8" t="s">
        <v>198</v>
      </c>
      <c r="C143" s="151"/>
    </row>
    <row r="144" spans="1:3">
      <c r="A144">
        <v>142</v>
      </c>
      <c r="B144" s="8" t="s">
        <v>199</v>
      </c>
      <c r="C144" s="152"/>
    </row>
    <row r="145" spans="1:3">
      <c r="A145">
        <v>143</v>
      </c>
      <c r="B145" s="8" t="s">
        <v>200</v>
      </c>
      <c r="C145" s="153"/>
    </row>
    <row r="146" spans="1:3">
      <c r="A146">
        <v>144</v>
      </c>
      <c r="B146" s="8" t="s">
        <v>201</v>
      </c>
      <c r="C146" s="154"/>
    </row>
    <row r="147" spans="1:3">
      <c r="A147">
        <v>145</v>
      </c>
      <c r="B147" s="8" t="s">
        <v>202</v>
      </c>
      <c r="C147" s="155"/>
    </row>
    <row r="148" spans="1:3">
      <c r="A148">
        <v>146</v>
      </c>
      <c r="B148" s="8" t="s">
        <v>203</v>
      </c>
      <c r="C148" s="156"/>
    </row>
    <row r="149" spans="1:3">
      <c r="A149">
        <v>147</v>
      </c>
      <c r="B149" s="8" t="s">
        <v>204</v>
      </c>
      <c r="C149" s="157"/>
    </row>
    <row r="150" spans="1:3">
      <c r="A150">
        <v>148</v>
      </c>
      <c r="B150" s="8" t="s">
        <v>205</v>
      </c>
      <c r="C150" s="158"/>
    </row>
    <row r="151" spans="1:3">
      <c r="A151">
        <v>149</v>
      </c>
      <c r="B151" s="8" t="s">
        <v>206</v>
      </c>
      <c r="C151" s="159"/>
    </row>
    <row r="152" spans="1:3">
      <c r="A152">
        <v>150</v>
      </c>
      <c r="B152" s="8" t="s">
        <v>207</v>
      </c>
      <c r="C152" s="160"/>
    </row>
    <row r="153" spans="1:3">
      <c r="A153">
        <v>151</v>
      </c>
      <c r="B153" s="8" t="s">
        <v>208</v>
      </c>
      <c r="C153" s="161"/>
    </row>
    <row r="154" spans="1:3">
      <c r="A154">
        <v>152</v>
      </c>
      <c r="B154" s="8" t="s">
        <v>209</v>
      </c>
      <c r="C154" s="162"/>
    </row>
    <row r="155" spans="1:3">
      <c r="A155">
        <v>153</v>
      </c>
      <c r="B155" s="8" t="s">
        <v>210</v>
      </c>
      <c r="C155" s="163"/>
    </row>
    <row r="156" spans="1:3">
      <c r="A156">
        <v>154</v>
      </c>
      <c r="B156" s="8" t="s">
        <v>211</v>
      </c>
      <c r="C156" s="164"/>
    </row>
    <row r="157" spans="1:3">
      <c r="A157">
        <v>155</v>
      </c>
      <c r="B157" s="8" t="s">
        <v>212</v>
      </c>
      <c r="C157" s="165"/>
    </row>
    <row r="158" spans="1:3">
      <c r="A158">
        <v>156</v>
      </c>
      <c r="B158" s="8" t="s">
        <v>212</v>
      </c>
      <c r="C158" s="165"/>
    </row>
    <row r="159" spans="1:3">
      <c r="A159">
        <v>157</v>
      </c>
      <c r="B159" s="8" t="s">
        <v>213</v>
      </c>
      <c r="C159" s="166"/>
    </row>
    <row r="160" spans="1:3">
      <c r="A160">
        <v>158</v>
      </c>
      <c r="B160" s="8" t="s">
        <v>214</v>
      </c>
      <c r="C160" s="167"/>
    </row>
    <row r="161" spans="1:3">
      <c r="A161">
        <v>159</v>
      </c>
      <c r="B161" s="8" t="s">
        <v>215</v>
      </c>
      <c r="C161" s="168"/>
    </row>
    <row r="162" spans="1:3">
      <c r="A162">
        <v>160</v>
      </c>
      <c r="B162" s="8" t="s">
        <v>216</v>
      </c>
      <c r="C162" s="169"/>
    </row>
    <row r="163" spans="1:3">
      <c r="A163">
        <v>161</v>
      </c>
      <c r="B163" s="8" t="s">
        <v>217</v>
      </c>
      <c r="C163" s="170"/>
    </row>
    <row r="164" spans="1:3">
      <c r="A164">
        <v>162</v>
      </c>
      <c r="B164" s="8" t="s">
        <v>218</v>
      </c>
      <c r="C164" s="171"/>
    </row>
    <row r="165" spans="1:3">
      <c r="A165">
        <v>163</v>
      </c>
      <c r="B165" s="8" t="s">
        <v>219</v>
      </c>
      <c r="C165" s="172"/>
    </row>
    <row r="166" spans="1:3">
      <c r="A166">
        <v>164</v>
      </c>
      <c r="B166" s="8" t="s">
        <v>220</v>
      </c>
      <c r="C166" s="173"/>
    </row>
    <row r="167" spans="1:3">
      <c r="A167">
        <v>165</v>
      </c>
      <c r="B167" s="8" t="s">
        <v>221</v>
      </c>
      <c r="C167" s="174"/>
    </row>
    <row r="168" spans="1:3">
      <c r="A168">
        <v>166</v>
      </c>
      <c r="B168" s="8" t="s">
        <v>222</v>
      </c>
      <c r="C168" s="175"/>
    </row>
    <row r="169" spans="1:3">
      <c r="A169">
        <v>167</v>
      </c>
      <c r="B169" s="8" t="s">
        <v>223</v>
      </c>
      <c r="C169" s="176"/>
    </row>
    <row r="170" spans="1:3">
      <c r="A170">
        <v>168</v>
      </c>
      <c r="B170" s="8" t="s">
        <v>224</v>
      </c>
      <c r="C170" s="177"/>
    </row>
    <row r="171" spans="1:3">
      <c r="A171">
        <v>169</v>
      </c>
      <c r="B171" s="8" t="s">
        <v>225</v>
      </c>
      <c r="C171" s="178"/>
    </row>
    <row r="172" spans="1:3">
      <c r="A172">
        <v>170</v>
      </c>
      <c r="B172" s="8" t="s">
        <v>226</v>
      </c>
      <c r="C172" s="179"/>
    </row>
    <row r="173" spans="1:3">
      <c r="A173">
        <v>171</v>
      </c>
      <c r="B173" s="8" t="s">
        <v>227</v>
      </c>
      <c r="C173" s="180"/>
    </row>
    <row r="174" spans="1:3">
      <c r="A174">
        <v>172</v>
      </c>
      <c r="B174" s="8" t="s">
        <v>228</v>
      </c>
      <c r="C174" s="181"/>
    </row>
    <row r="175" spans="1:3">
      <c r="A175">
        <v>173</v>
      </c>
      <c r="B175" s="8" t="s">
        <v>229</v>
      </c>
      <c r="C175" s="182"/>
    </row>
    <row r="176" spans="1:3">
      <c r="A176">
        <v>174</v>
      </c>
      <c r="B176" s="8" t="s">
        <v>230</v>
      </c>
      <c r="C176" s="183"/>
    </row>
    <row r="177" spans="1:3">
      <c r="A177">
        <v>175</v>
      </c>
      <c r="B177" s="8" t="s">
        <v>231</v>
      </c>
      <c r="C177" s="184"/>
    </row>
    <row r="178" spans="1:3">
      <c r="A178">
        <v>176</v>
      </c>
      <c r="B178" s="8" t="s">
        <v>232</v>
      </c>
      <c r="C178" s="185"/>
    </row>
    <row r="179" spans="1:3">
      <c r="A179">
        <v>177</v>
      </c>
      <c r="B179" s="8" t="s">
        <v>233</v>
      </c>
      <c r="C179" s="186"/>
    </row>
    <row r="180" spans="1:3">
      <c r="A180">
        <v>178</v>
      </c>
      <c r="B180" s="8" t="s">
        <v>234</v>
      </c>
      <c r="C180" s="187"/>
    </row>
    <row r="181" spans="1:3">
      <c r="A181">
        <v>179</v>
      </c>
      <c r="B181" s="8" t="s">
        <v>235</v>
      </c>
      <c r="C181" s="188"/>
    </row>
    <row r="182" spans="1:3">
      <c r="A182">
        <v>180</v>
      </c>
      <c r="B182" s="8" t="s">
        <v>236</v>
      </c>
      <c r="C182" s="189"/>
    </row>
    <row r="183" spans="1:3">
      <c r="A183">
        <v>181</v>
      </c>
      <c r="B183" s="8" t="s">
        <v>237</v>
      </c>
      <c r="C183" s="190"/>
    </row>
    <row r="184" spans="1:3">
      <c r="A184">
        <v>182</v>
      </c>
      <c r="B184" s="8" t="s">
        <v>238</v>
      </c>
      <c r="C184" s="191"/>
    </row>
    <row r="185" spans="1:3">
      <c r="A185">
        <v>183</v>
      </c>
      <c r="B185" s="8" t="s">
        <v>239</v>
      </c>
      <c r="C185" s="192"/>
    </row>
    <row r="186" spans="1:3">
      <c r="A186">
        <v>184</v>
      </c>
      <c r="B186" s="8" t="s">
        <v>185</v>
      </c>
      <c r="C186" s="138"/>
    </row>
    <row r="187" spans="1:3">
      <c r="A187">
        <v>185</v>
      </c>
      <c r="B187" s="8" t="s">
        <v>240</v>
      </c>
      <c r="C187" s="193"/>
    </row>
    <row r="188" spans="1:3">
      <c r="A188">
        <v>186</v>
      </c>
      <c r="B188" s="8" t="s">
        <v>241</v>
      </c>
      <c r="C188" s="194"/>
    </row>
    <row r="189" spans="1:3">
      <c r="A189">
        <v>187</v>
      </c>
      <c r="B189" s="8" t="s">
        <v>242</v>
      </c>
      <c r="C189" s="195"/>
    </row>
    <row r="190" spans="1:3">
      <c r="A190">
        <v>188</v>
      </c>
      <c r="B190" s="8" t="s">
        <v>243</v>
      </c>
      <c r="C190" s="196"/>
    </row>
    <row r="191" spans="1:3">
      <c r="A191">
        <v>189</v>
      </c>
      <c r="B191" s="8" t="s">
        <v>244</v>
      </c>
      <c r="C191" s="197"/>
    </row>
    <row r="192" spans="1:3">
      <c r="A192">
        <v>190</v>
      </c>
      <c r="B192" s="8" t="s">
        <v>245</v>
      </c>
      <c r="C192" s="198"/>
    </row>
    <row r="193" spans="1:3">
      <c r="A193">
        <v>191</v>
      </c>
      <c r="B193" s="8" t="s">
        <v>246</v>
      </c>
      <c r="C193" s="199"/>
    </row>
    <row r="194" spans="1:3">
      <c r="A194">
        <v>192</v>
      </c>
      <c r="B194" s="8" t="s">
        <v>247</v>
      </c>
      <c r="C194" s="200"/>
    </row>
    <row r="195" spans="1:3">
      <c r="A195">
        <v>193</v>
      </c>
      <c r="B195" s="8" t="s">
        <v>248</v>
      </c>
      <c r="C195" s="201"/>
    </row>
    <row r="196" spans="1:3">
      <c r="A196">
        <v>194</v>
      </c>
      <c r="B196" s="8" t="s">
        <v>249</v>
      </c>
      <c r="C196" s="202"/>
    </row>
    <row r="197" spans="1:3">
      <c r="A197">
        <v>195</v>
      </c>
      <c r="B197" s="8" t="s">
        <v>250</v>
      </c>
      <c r="C197" s="203"/>
    </row>
    <row r="198" spans="1:3">
      <c r="A198">
        <v>196</v>
      </c>
      <c r="B198" s="8" t="s">
        <v>251</v>
      </c>
      <c r="C198" s="204"/>
    </row>
    <row r="199" spans="1:3">
      <c r="A199">
        <v>197</v>
      </c>
      <c r="B199" s="8" t="s">
        <v>252</v>
      </c>
      <c r="C199" s="205"/>
    </row>
    <row r="200" spans="1:3">
      <c r="A200">
        <v>198</v>
      </c>
      <c r="B200" s="8" t="s">
        <v>253</v>
      </c>
      <c r="C200" s="206"/>
    </row>
    <row r="201" spans="1:3">
      <c r="A201">
        <v>199</v>
      </c>
      <c r="B201" s="8" t="s">
        <v>254</v>
      </c>
      <c r="C201" s="207"/>
    </row>
    <row r="202" spans="1:3">
      <c r="A202">
        <v>200</v>
      </c>
      <c r="B202" s="8" t="s">
        <v>255</v>
      </c>
      <c r="C202" s="208"/>
    </row>
    <row r="203" spans="1:3">
      <c r="A203">
        <v>201</v>
      </c>
      <c r="B203" s="8" t="s">
        <v>256</v>
      </c>
      <c r="C203" s="209"/>
    </row>
    <row r="204" spans="1:3">
      <c r="A204">
        <v>202</v>
      </c>
      <c r="B204" s="8" t="s">
        <v>257</v>
      </c>
      <c r="C204" s="210"/>
    </row>
    <row r="205" spans="1:3">
      <c r="A205">
        <v>203</v>
      </c>
      <c r="B205" s="8" t="s">
        <v>258</v>
      </c>
      <c r="C205" s="211"/>
    </row>
    <row r="206" spans="1:3">
      <c r="A206">
        <v>204</v>
      </c>
      <c r="B206" s="8" t="s">
        <v>259</v>
      </c>
      <c r="C206" s="212"/>
    </row>
    <row r="207" spans="1:3">
      <c r="A207">
        <v>205</v>
      </c>
      <c r="B207" s="8" t="s">
        <v>260</v>
      </c>
      <c r="C207" s="213"/>
    </row>
    <row r="208" spans="1:3">
      <c r="A208">
        <v>206</v>
      </c>
      <c r="B208" s="8" t="s">
        <v>261</v>
      </c>
      <c r="C208" s="214"/>
    </row>
    <row r="209" spans="1:3">
      <c r="A209">
        <v>207</v>
      </c>
      <c r="B209" s="8" t="s">
        <v>262</v>
      </c>
      <c r="C209" s="215"/>
    </row>
    <row r="210" spans="1:3">
      <c r="A210">
        <v>208</v>
      </c>
      <c r="B210" s="8" t="s">
        <v>263</v>
      </c>
      <c r="C210" s="216"/>
    </row>
    <row r="211" spans="1:3">
      <c r="A211">
        <v>209</v>
      </c>
      <c r="B211" s="8" t="s">
        <v>264</v>
      </c>
      <c r="C211" s="217"/>
    </row>
    <row r="212" spans="1:3">
      <c r="A212">
        <v>210</v>
      </c>
      <c r="B212" s="8" t="s">
        <v>265</v>
      </c>
      <c r="C212" s="218"/>
    </row>
    <row r="213" spans="1:3">
      <c r="A213">
        <v>211</v>
      </c>
      <c r="B213" s="8" t="s">
        <v>266</v>
      </c>
      <c r="C213" s="219"/>
    </row>
    <row r="214" spans="1:3">
      <c r="A214">
        <v>212</v>
      </c>
      <c r="B214" s="8" t="s">
        <v>267</v>
      </c>
      <c r="C214" s="220"/>
    </row>
    <row r="215" spans="1:3">
      <c r="A215">
        <v>213</v>
      </c>
      <c r="B215" s="8" t="s">
        <v>268</v>
      </c>
      <c r="C215" s="221"/>
    </row>
    <row r="216" spans="1:3">
      <c r="A216">
        <v>214</v>
      </c>
      <c r="B216" s="8" t="s">
        <v>269</v>
      </c>
      <c r="C216" s="222"/>
    </row>
    <row r="217" spans="1:3">
      <c r="A217">
        <v>215</v>
      </c>
      <c r="B217" s="8" t="s">
        <v>270</v>
      </c>
      <c r="C217" s="223"/>
    </row>
    <row r="218" spans="1:3">
      <c r="A218">
        <v>216</v>
      </c>
      <c r="B218" s="8" t="s">
        <v>271</v>
      </c>
      <c r="C218" s="224"/>
    </row>
    <row r="219" spans="1:3">
      <c r="A219">
        <v>217</v>
      </c>
      <c r="B219" s="8" t="s">
        <v>272</v>
      </c>
      <c r="C219" s="225"/>
    </row>
    <row r="220" spans="1:3">
      <c r="A220">
        <v>218</v>
      </c>
      <c r="B220" s="8" t="s">
        <v>273</v>
      </c>
      <c r="C220" s="226"/>
    </row>
    <row r="221" spans="1:3">
      <c r="A221">
        <v>219</v>
      </c>
      <c r="B221" s="8" t="s">
        <v>274</v>
      </c>
      <c r="C221" s="227"/>
    </row>
    <row r="222" spans="1:3">
      <c r="A222">
        <v>220</v>
      </c>
      <c r="B222" s="8" t="s">
        <v>275</v>
      </c>
      <c r="C222" s="228"/>
    </row>
    <row r="223" spans="1:3">
      <c r="A223">
        <v>221</v>
      </c>
      <c r="B223" s="8" t="s">
        <v>276</v>
      </c>
      <c r="C223" s="229"/>
    </row>
    <row r="224" spans="1:3">
      <c r="A224">
        <v>222</v>
      </c>
      <c r="B224" s="8" t="s">
        <v>277</v>
      </c>
      <c r="C224" s="230"/>
    </row>
    <row r="225" spans="1:3">
      <c r="A225">
        <v>223</v>
      </c>
      <c r="B225" s="8" t="s">
        <v>278</v>
      </c>
      <c r="C225" s="23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生産性と旅客度</vt:lpstr>
      <vt:lpstr>出現頻度</vt:lpstr>
      <vt:lpstr>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林田光惺</dc:creator>
  <cp:lastModifiedBy>光惺 林田</cp:lastModifiedBy>
  <dcterms:created xsi:type="dcterms:W3CDTF">2015-06-05T18:19:34Z</dcterms:created>
  <dcterms:modified xsi:type="dcterms:W3CDTF">2026-10-22T05:50:59Z</dcterms:modified>
</cp:coreProperties>
</file>