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yont\private\game_modding\simutrans\128japan+\src\車輌\"/>
    </mc:Choice>
  </mc:AlternateContent>
  <xr:revisionPtr revIDLastSave="0" documentId="13_ncr:1_{BEE603BC-65CA-4CD1-AAD1-AD9EEF4341BF}" xr6:coauthVersionLast="47" xr6:coauthVersionMax="47" xr10:uidLastSave="{00000000-0000-0000-0000-000000000000}"/>
  <bookViews>
    <workbookView xWindow="-120" yWindow="-120" windowWidth="29040" windowHeight="16440" activeTab="7" xr2:uid="{9A382892-6161-4CE3-86B7-0F1BE08D9B19}"/>
  </bookViews>
  <sheets>
    <sheet name="電車" sheetId="1" r:id="rId1"/>
    <sheet name="気動車" sheetId="7" r:id="rId2"/>
    <sheet name="客車" sheetId="2" r:id="rId3"/>
    <sheet name="貨車" sheetId="8" r:id="rId4"/>
    <sheet name="機関車" sheetId="3" r:id="rId5"/>
    <sheet name="モノレール" sheetId="5" r:id="rId6"/>
    <sheet name="旅客自動車" sheetId="4" r:id="rId7"/>
    <sheet name="貨物自動車" sheetId="9" r:id="rId8"/>
    <sheet name="旅客船" sheetId="6" r:id="rId9"/>
    <sheet name="貨物船" sheetId="10" r:id="rId10"/>
    <sheet name="貨物係数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G8" i="4"/>
  <c r="F10" i="4"/>
  <c r="G10" i="4"/>
  <c r="G9" i="4"/>
  <c r="F9" i="4"/>
  <c r="F6" i="4"/>
  <c r="G6" i="4"/>
  <c r="F5" i="4"/>
  <c r="F4" i="4"/>
  <c r="F2" i="4"/>
  <c r="G5" i="4"/>
  <c r="G4" i="4"/>
  <c r="G2" i="4"/>
  <c r="C8" i="11"/>
  <c r="C7" i="11"/>
  <c r="I7" i="9"/>
  <c r="I13" i="9"/>
  <c r="I15" i="9"/>
  <c r="I21" i="9"/>
  <c r="I23" i="9"/>
  <c r="E4" i="1" l="1"/>
  <c r="G4" i="1" s="1"/>
  <c r="D18" i="9"/>
  <c r="E18" i="9" s="1"/>
  <c r="D19" i="9"/>
  <c r="E19" i="9" s="1"/>
  <c r="D5" i="9"/>
  <c r="E5" i="9" s="1"/>
  <c r="D11" i="9"/>
  <c r="E11" i="9" s="1"/>
  <c r="D2" i="9"/>
  <c r="E2" i="9" s="1"/>
  <c r="D3" i="9"/>
  <c r="E3" i="9" s="1"/>
  <c r="D4" i="9"/>
  <c r="E4" i="9" s="1"/>
  <c r="D6" i="9"/>
  <c r="E6" i="9" s="1"/>
  <c r="D8" i="9"/>
  <c r="E8" i="9" s="1"/>
  <c r="D9" i="9"/>
  <c r="E9" i="9" s="1"/>
  <c r="D10" i="9"/>
  <c r="E10" i="9" s="1"/>
  <c r="D12" i="9"/>
  <c r="E12" i="9" s="1"/>
  <c r="D14" i="9"/>
  <c r="E14" i="9" s="1"/>
  <c r="D16" i="9"/>
  <c r="E16" i="9" s="1"/>
  <c r="D17" i="9"/>
  <c r="E17" i="9" s="1"/>
  <c r="D20" i="9"/>
  <c r="E20" i="9" s="1"/>
  <c r="D22" i="9"/>
  <c r="E22" i="9" s="1"/>
  <c r="D24" i="9"/>
  <c r="E24" i="9" s="1"/>
  <c r="J12" i="9" l="1"/>
  <c r="I12" i="9"/>
  <c r="I8" i="9"/>
  <c r="J8" i="9"/>
  <c r="I6" i="9"/>
  <c r="J6" i="9"/>
  <c r="I4" i="9"/>
  <c r="J4" i="9"/>
  <c r="I3" i="9"/>
  <c r="J3" i="9"/>
  <c r="J17" i="9"/>
  <c r="I17" i="9"/>
  <c r="I10" i="9"/>
  <c r="J10" i="9"/>
  <c r="I2" i="9"/>
  <c r="J2" i="9"/>
  <c r="I11" i="9"/>
  <c r="J11" i="9"/>
  <c r="I5" i="9"/>
  <c r="J5" i="9"/>
  <c r="J14" i="9"/>
  <c r="I14" i="9"/>
  <c r="I9" i="9"/>
  <c r="J9" i="9"/>
  <c r="I19" i="9"/>
  <c r="J19" i="9"/>
  <c r="J16" i="9"/>
  <c r="I16" i="9"/>
  <c r="I22" i="9"/>
  <c r="J22" i="9"/>
  <c r="J18" i="9"/>
  <c r="I18" i="9"/>
  <c r="I24" i="9"/>
  <c r="J24" i="9"/>
  <c r="I20" i="9"/>
  <c r="J20" i="9"/>
  <c r="H4" i="1"/>
  <c r="E5" i="1"/>
  <c r="G5" i="1" s="1"/>
  <c r="E6" i="1"/>
  <c r="G6" i="1" s="1"/>
  <c r="E3" i="1"/>
  <c r="H3" i="1" s="1"/>
  <c r="H6" i="1" l="1"/>
  <c r="H5" i="1"/>
  <c r="G3" i="1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3" i="10"/>
  <c r="H62" i="10"/>
  <c r="H61" i="10"/>
  <c r="H60" i="10"/>
  <c r="H59" i="10"/>
  <c r="H55" i="10"/>
  <c r="H54" i="10"/>
  <c r="H53" i="10"/>
  <c r="H52" i="10"/>
  <c r="H51" i="10"/>
  <c r="H48" i="10"/>
  <c r="H47" i="10"/>
  <c r="H46" i="10"/>
  <c r="H41" i="10"/>
  <c r="H40" i="10"/>
  <c r="H39" i="10"/>
  <c r="H36" i="10"/>
  <c r="H35" i="10"/>
  <c r="H31" i="10"/>
  <c r="H30" i="10"/>
  <c r="H29" i="10"/>
  <c r="H28" i="10"/>
  <c r="H27" i="10"/>
  <c r="H26" i="10"/>
  <c r="H25" i="10"/>
  <c r="H24" i="10"/>
  <c r="H23" i="10"/>
  <c r="H16" i="10"/>
  <c r="H15" i="10"/>
  <c r="H14" i="10"/>
  <c r="H13" i="10"/>
  <c r="H12" i="10"/>
  <c r="H11" i="10"/>
  <c r="H9" i="10"/>
  <c r="H8" i="10"/>
  <c r="H7" i="10"/>
  <c r="H6" i="10"/>
  <c r="H5" i="10"/>
  <c r="H4" i="10"/>
  <c r="F5" i="6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D64" i="10"/>
  <c r="I64" i="10" s="1"/>
  <c r="I63" i="10"/>
  <c r="I62" i="10"/>
  <c r="I61" i="10"/>
  <c r="I60" i="10"/>
  <c r="I59" i="10"/>
  <c r="I58" i="10"/>
  <c r="D56" i="10"/>
  <c r="H56" i="10" s="1"/>
  <c r="I55" i="10"/>
  <c r="I54" i="10"/>
  <c r="I53" i="10"/>
  <c r="I52" i="10"/>
  <c r="I51" i="10"/>
  <c r="I48" i="10"/>
  <c r="I47" i="10"/>
  <c r="I46" i="10"/>
  <c r="I45" i="10"/>
  <c r="I44" i="10"/>
  <c r="I43" i="10"/>
  <c r="D42" i="10"/>
  <c r="H42" i="10" s="1"/>
  <c r="I42" i="10"/>
  <c r="I41" i="10"/>
  <c r="I40" i="10"/>
  <c r="I39" i="10"/>
  <c r="I38" i="10"/>
  <c r="D37" i="10"/>
  <c r="H37" i="10" s="1"/>
  <c r="I36" i="10"/>
  <c r="I35" i="10"/>
  <c r="D33" i="10"/>
  <c r="H33" i="10" s="1"/>
  <c r="D32" i="10"/>
  <c r="H32" i="10" s="1"/>
  <c r="I32" i="10"/>
  <c r="I31" i="10"/>
  <c r="I30" i="10"/>
  <c r="D29" i="10"/>
  <c r="I29" i="10" s="1"/>
  <c r="D28" i="10"/>
  <c r="I28" i="10"/>
  <c r="D27" i="10"/>
  <c r="I27" i="10"/>
  <c r="I26" i="10"/>
  <c r="I25" i="10"/>
  <c r="I24" i="10"/>
  <c r="I23" i="10"/>
  <c r="I20" i="10"/>
  <c r="I19" i="10"/>
  <c r="I18" i="10"/>
  <c r="D17" i="10"/>
  <c r="H17" i="10" s="1"/>
  <c r="I17" i="10"/>
  <c r="I16" i="10"/>
  <c r="I15" i="10"/>
  <c r="I14" i="10"/>
  <c r="I13" i="10"/>
  <c r="I12" i="10"/>
  <c r="D11" i="10"/>
  <c r="I11" i="10" s="1"/>
  <c r="D10" i="10"/>
  <c r="H10" i="10" s="1"/>
  <c r="I10" i="10"/>
  <c r="D9" i="10"/>
  <c r="I9" i="10"/>
  <c r="I8" i="10"/>
  <c r="I7" i="10"/>
  <c r="I6" i="10"/>
  <c r="D5" i="10"/>
  <c r="I5" i="10"/>
  <c r="D4" i="10"/>
  <c r="I4" i="10" s="1"/>
  <c r="I139" i="10"/>
  <c r="H139" i="10"/>
  <c r="D3" i="10"/>
  <c r="H3" i="10" s="1"/>
  <c r="D12" i="10"/>
  <c r="D13" i="10"/>
  <c r="D18" i="10"/>
  <c r="H18" i="10" s="1"/>
  <c r="D19" i="10"/>
  <c r="H19" i="10" s="1"/>
  <c r="D20" i="10"/>
  <c r="H20" i="10" s="1"/>
  <c r="D21" i="10"/>
  <c r="I21" i="10" s="1"/>
  <c r="D22" i="10"/>
  <c r="H22" i="10" s="1"/>
  <c r="D34" i="10"/>
  <c r="H34" i="10" s="1"/>
  <c r="D38" i="10"/>
  <c r="H38" i="10" s="1"/>
  <c r="D43" i="10"/>
  <c r="H43" i="10" s="1"/>
  <c r="D44" i="10"/>
  <c r="H44" i="10" s="1"/>
  <c r="D45" i="10"/>
  <c r="H45" i="10" s="1"/>
  <c r="D49" i="10"/>
  <c r="H49" i="10" s="1"/>
  <c r="D50" i="10"/>
  <c r="H50" i="10" s="1"/>
  <c r="D57" i="10"/>
  <c r="I57" i="10" s="1"/>
  <c r="D58" i="10"/>
  <c r="H58" i="10" s="1"/>
  <c r="D64" i="8"/>
  <c r="I64" i="8" s="1"/>
  <c r="D58" i="8"/>
  <c r="H58" i="8"/>
  <c r="I58" i="8"/>
  <c r="D57" i="8"/>
  <c r="H57" i="8" s="1"/>
  <c r="I57" i="8"/>
  <c r="D56" i="8"/>
  <c r="I56" i="8" s="1"/>
  <c r="H56" i="8"/>
  <c r="D27" i="8"/>
  <c r="I27" i="8" s="1"/>
  <c r="D50" i="8"/>
  <c r="I50" i="8" s="1"/>
  <c r="D49" i="8"/>
  <c r="I49" i="8"/>
  <c r="H49" i="8"/>
  <c r="D22" i="8"/>
  <c r="I22" i="8"/>
  <c r="H22" i="8"/>
  <c r="D21" i="8"/>
  <c r="I21" i="8" s="1"/>
  <c r="H21" i="8"/>
  <c r="D13" i="8"/>
  <c r="H13" i="8" s="1"/>
  <c r="I43" i="8"/>
  <c r="H43" i="8"/>
  <c r="I42" i="8"/>
  <c r="H42" i="8"/>
  <c r="D45" i="8"/>
  <c r="H45" i="8" s="1"/>
  <c r="D44" i="8"/>
  <c r="I44" i="8" s="1"/>
  <c r="D43" i="8"/>
  <c r="D42" i="8"/>
  <c r="D38" i="8"/>
  <c r="I38" i="8"/>
  <c r="H38" i="8"/>
  <c r="D37" i="8"/>
  <c r="H37" i="8" s="1"/>
  <c r="I37" i="8"/>
  <c r="D34" i="8"/>
  <c r="D33" i="8"/>
  <c r="D32" i="8"/>
  <c r="H32" i="8" s="1"/>
  <c r="I34" i="8"/>
  <c r="H34" i="8"/>
  <c r="I33" i="8"/>
  <c r="H33" i="8"/>
  <c r="I32" i="8"/>
  <c r="H17" i="8"/>
  <c r="H12" i="8"/>
  <c r="H11" i="8"/>
  <c r="H10" i="8"/>
  <c r="H4" i="8"/>
  <c r="I4" i="8"/>
  <c r="I3" i="8"/>
  <c r="D5" i="8"/>
  <c r="H5" i="8" s="1"/>
  <c r="D4" i="8"/>
  <c r="D3" i="8"/>
  <c r="H3" i="8" s="1"/>
  <c r="G2" i="3"/>
  <c r="F2" i="3"/>
  <c r="G14" i="3"/>
  <c r="F14" i="3"/>
  <c r="F5" i="3"/>
  <c r="G5" i="3"/>
  <c r="G18" i="3"/>
  <c r="F18" i="3"/>
  <c r="G28" i="3"/>
  <c r="F28" i="3"/>
  <c r="G14" i="2"/>
  <c r="F14" i="2"/>
  <c r="G13" i="2"/>
  <c r="F13" i="2"/>
  <c r="G12" i="2"/>
  <c r="F12" i="2"/>
  <c r="G10" i="2"/>
  <c r="F10" i="2"/>
  <c r="F15" i="3"/>
  <c r="G15" i="3"/>
  <c r="F16" i="2"/>
  <c r="F17" i="2"/>
  <c r="G17" i="2"/>
  <c r="G16" i="2"/>
  <c r="F4" i="3"/>
  <c r="G4" i="3"/>
  <c r="G11" i="3"/>
  <c r="F11" i="3"/>
  <c r="D75" i="8"/>
  <c r="H75" i="8" s="1"/>
  <c r="D20" i="8"/>
  <c r="H20" i="8" s="1"/>
  <c r="D19" i="8"/>
  <c r="H19" i="8" s="1"/>
  <c r="D18" i="8"/>
  <c r="H18" i="8" s="1"/>
  <c r="D17" i="8"/>
  <c r="D12" i="8"/>
  <c r="D11" i="8"/>
  <c r="I11" i="8" s="1"/>
  <c r="D10" i="8"/>
  <c r="I10" i="8" s="1"/>
  <c r="D9" i="8"/>
  <c r="H9" i="8" s="1"/>
  <c r="D74" i="8"/>
  <c r="H74" i="8" s="1"/>
  <c r="I20" i="8"/>
  <c r="I12" i="8"/>
  <c r="I17" i="8"/>
  <c r="I19" i="8"/>
  <c r="G5" i="2"/>
  <c r="F5" i="2"/>
  <c r="F6" i="2"/>
  <c r="G6" i="2"/>
  <c r="F8" i="2"/>
  <c r="G8" i="2"/>
  <c r="F27" i="3"/>
  <c r="G27" i="3"/>
  <c r="F17" i="3"/>
  <c r="G17" i="3"/>
  <c r="F13" i="3"/>
  <c r="G13" i="3"/>
  <c r="F20" i="3"/>
  <c r="F19" i="3"/>
  <c r="G20" i="3"/>
  <c r="G19" i="3"/>
  <c r="F17" i="7"/>
  <c r="G17" i="7"/>
  <c r="G8" i="7"/>
  <c r="G11" i="7" s="1"/>
  <c r="F8" i="7"/>
  <c r="F11" i="7" s="1"/>
  <c r="G10" i="7"/>
  <c r="F10" i="7"/>
  <c r="G9" i="7"/>
  <c r="F9" i="7"/>
  <c r="F4" i="5"/>
  <c r="F3" i="5"/>
  <c r="F2" i="5"/>
  <c r="F5" i="5" s="1"/>
  <c r="F12" i="3"/>
  <c r="F10" i="3"/>
  <c r="F9" i="3"/>
  <c r="F7" i="3"/>
  <c r="G7" i="3"/>
  <c r="F7" i="2"/>
  <c r="F4" i="2"/>
  <c r="F3" i="2"/>
  <c r="F2" i="2"/>
  <c r="F4" i="7"/>
  <c r="F3" i="7"/>
  <c r="F2" i="7"/>
  <c r="F14" i="7"/>
  <c r="G3" i="3"/>
  <c r="F3" i="3"/>
  <c r="G6" i="3"/>
  <c r="F6" i="3"/>
  <c r="G14" i="7"/>
  <c r="G5" i="6"/>
  <c r="G4" i="5"/>
  <c r="G3" i="5"/>
  <c r="G2" i="5"/>
  <c r="G12" i="3"/>
  <c r="G10" i="3"/>
  <c r="G9" i="3"/>
  <c r="G4" i="7"/>
  <c r="G3" i="7"/>
  <c r="G2" i="7"/>
  <c r="G5" i="7"/>
  <c r="F5" i="7"/>
  <c r="G11" i="2"/>
  <c r="F11" i="2"/>
  <c r="E3" i="6"/>
  <c r="F3" i="6" s="1"/>
  <c r="E2" i="6"/>
  <c r="F2" i="6" s="1"/>
  <c r="G5" i="5"/>
  <c r="G7" i="2"/>
  <c r="G4" i="2"/>
  <c r="G3" i="2"/>
  <c r="G2" i="2"/>
  <c r="I45" i="8" l="1"/>
  <c r="H27" i="8"/>
  <c r="H21" i="10"/>
  <c r="G2" i="6"/>
  <c r="I9" i="8"/>
  <c r="I75" i="8"/>
  <c r="H57" i="10"/>
  <c r="G3" i="6"/>
  <c r="I33" i="10"/>
  <c r="I5" i="8"/>
  <c r="H50" i="8"/>
  <c r="I22" i="10"/>
  <c r="H64" i="10"/>
  <c r="H44" i="8"/>
  <c r="H64" i="8"/>
  <c r="I49" i="10"/>
  <c r="I34" i="10"/>
  <c r="I50" i="10"/>
  <c r="I3" i="10"/>
  <c r="I37" i="10"/>
  <c r="I74" i="8"/>
  <c r="I13" i="8"/>
  <c r="I18" i="8"/>
  <c r="I5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林田光惺</author>
  </authors>
  <commentList>
    <comment ref="B7" authorId="0" shapeId="0" xr:uid="{D0021332-79C6-4C2A-A22C-BADBFCEB901D}">
      <text>
        <r>
          <rPr>
            <b/>
            <sz val="9"/>
            <color indexed="81"/>
            <rFont val="MS P ゴシック"/>
            <family val="3"/>
            <charset val="128"/>
          </rPr>
          <t>林田光惺:</t>
        </r>
        <r>
          <rPr>
            <sz val="9"/>
            <color indexed="81"/>
            <rFont val="MS P ゴシック"/>
            <family val="3"/>
            <charset val="128"/>
          </rPr>
          <t xml:space="preserve">
例外的に混載+2</t>
        </r>
      </text>
    </comment>
    <comment ref="B8" authorId="0" shapeId="0" xr:uid="{0FCA961B-9DF8-4963-B4F8-84BDE8EA5497}">
      <text>
        <r>
          <rPr>
            <b/>
            <sz val="9"/>
            <color indexed="81"/>
            <rFont val="MS P ゴシック"/>
            <family val="3"/>
            <charset val="128"/>
          </rPr>
          <t>林田光惺:</t>
        </r>
        <r>
          <rPr>
            <sz val="9"/>
            <color indexed="81"/>
            <rFont val="MS P ゴシック"/>
            <family val="3"/>
            <charset val="128"/>
          </rPr>
          <t xml:space="preserve">
例外的に混載+4</t>
        </r>
      </text>
    </comment>
  </commentList>
</comments>
</file>

<file path=xl/sharedStrings.xml><?xml version="1.0" encoding="utf-8"?>
<sst xmlns="http://schemas.openxmlformats.org/spreadsheetml/2006/main" count="288" uniqueCount="156">
  <si>
    <t>定員</t>
    <rPh sb="0" eb="2">
      <t>テイイン</t>
    </rPh>
    <phoneticPr fontId="1"/>
  </si>
  <si>
    <t>形式</t>
    <rPh sb="0" eb="2">
      <t>ケイシキ</t>
    </rPh>
    <phoneticPr fontId="1"/>
  </si>
  <si>
    <t>出力</t>
    <rPh sb="0" eb="2">
      <t>シュツリョク</t>
    </rPh>
    <phoneticPr fontId="1"/>
  </si>
  <si>
    <t>ギア比</t>
    <rPh sb="2" eb="3">
      <t>ヒ</t>
    </rPh>
    <phoneticPr fontId="1"/>
  </si>
  <si>
    <t>維持費</t>
    <rPh sb="0" eb="3">
      <t>イジヒ</t>
    </rPh>
    <phoneticPr fontId="1"/>
  </si>
  <si>
    <t>価格</t>
    <rPh sb="0" eb="2">
      <t>カカク</t>
    </rPh>
    <phoneticPr fontId="1"/>
  </si>
  <si>
    <t>最高速度</t>
    <rPh sb="0" eb="2">
      <t>サイコウ</t>
    </rPh>
    <rPh sb="2" eb="4">
      <t>ソクド</t>
    </rPh>
    <phoneticPr fontId="1"/>
  </si>
  <si>
    <t>１０連</t>
    <rPh sb="2" eb="3">
      <t>レン</t>
    </rPh>
    <phoneticPr fontId="1"/>
  </si>
  <si>
    <t>キハ５８</t>
    <phoneticPr fontId="1"/>
  </si>
  <si>
    <t>キハ２８</t>
    <phoneticPr fontId="1"/>
  </si>
  <si>
    <t>キロ２８</t>
    <phoneticPr fontId="1"/>
  </si>
  <si>
    <t>湘南5000a</t>
    <rPh sb="0" eb="2">
      <t>ショウナン</t>
    </rPh>
    <phoneticPr fontId="1"/>
  </si>
  <si>
    <t>湘南5000b</t>
    <rPh sb="0" eb="2">
      <t>ショウナン</t>
    </rPh>
    <phoneticPr fontId="1"/>
  </si>
  <si>
    <t>湘南5000c</t>
    <rPh sb="0" eb="2">
      <t>ショウナン</t>
    </rPh>
    <phoneticPr fontId="1"/>
  </si>
  <si>
    <t>３連</t>
    <rPh sb="1" eb="2">
      <t>レン</t>
    </rPh>
    <phoneticPr fontId="1"/>
  </si>
  <si>
    <t>スハ43</t>
    <phoneticPr fontId="1"/>
  </si>
  <si>
    <t>スハフ42</t>
    <phoneticPr fontId="1"/>
  </si>
  <si>
    <t>スハ44</t>
    <phoneticPr fontId="1"/>
  </si>
  <si>
    <t>スハニ35</t>
    <phoneticPr fontId="1"/>
  </si>
  <si>
    <t>スロ60</t>
    <phoneticPr fontId="1"/>
  </si>
  <si>
    <t>ＥＦ５８</t>
    <phoneticPr fontId="1"/>
  </si>
  <si>
    <t>EF80</t>
    <phoneticPr fontId="1"/>
  </si>
  <si>
    <t>EF66</t>
    <phoneticPr fontId="1"/>
  </si>
  <si>
    <t>伊予丸</t>
    <rPh sb="0" eb="2">
      <t>イヨ</t>
    </rPh>
    <rPh sb="2" eb="3">
      <t>マル</t>
    </rPh>
    <phoneticPr fontId="1"/>
  </si>
  <si>
    <t>tecnoSL</t>
    <phoneticPr fontId="1"/>
  </si>
  <si>
    <t>スロ30750</t>
    <phoneticPr fontId="1"/>
  </si>
  <si>
    <t>キハ120</t>
    <phoneticPr fontId="1"/>
  </si>
  <si>
    <t>ＥＦ10</t>
    <phoneticPr fontId="1"/>
  </si>
  <si>
    <t>スハニ35650</t>
    <phoneticPr fontId="1"/>
  </si>
  <si>
    <t>スハ32600</t>
    <phoneticPr fontId="1"/>
  </si>
  <si>
    <t>スイテ37000</t>
    <phoneticPr fontId="1"/>
  </si>
  <si>
    <t>ＥＦ56</t>
    <phoneticPr fontId="1"/>
  </si>
  <si>
    <t>ＥＦ53</t>
    <phoneticPr fontId="1"/>
  </si>
  <si>
    <t>キハ35</t>
    <phoneticPr fontId="1"/>
  </si>
  <si>
    <t>キハ30</t>
    <phoneticPr fontId="1"/>
  </si>
  <si>
    <t>キロ36</t>
    <phoneticPr fontId="1"/>
  </si>
  <si>
    <t>キハ42000</t>
    <phoneticPr fontId="1"/>
  </si>
  <si>
    <t>DD51</t>
    <phoneticPr fontId="1"/>
  </si>
  <si>
    <t>DD51</t>
    <phoneticPr fontId="1"/>
  </si>
  <si>
    <t>EF66_100</t>
    <phoneticPr fontId="1"/>
  </si>
  <si>
    <t>DE10</t>
    <phoneticPr fontId="1"/>
  </si>
  <si>
    <t>C61</t>
    <phoneticPr fontId="1"/>
  </si>
  <si>
    <t>スロ51</t>
    <phoneticPr fontId="1"/>
  </si>
  <si>
    <t>スハフ４３</t>
    <phoneticPr fontId="1"/>
  </si>
  <si>
    <t>ワム80000</t>
    <phoneticPr fontId="1"/>
  </si>
  <si>
    <t>ワム1</t>
    <phoneticPr fontId="1"/>
  </si>
  <si>
    <t>ワム3500</t>
    <phoneticPr fontId="1"/>
  </si>
  <si>
    <t>ワム23000</t>
    <phoneticPr fontId="1"/>
  </si>
  <si>
    <t>ワム280000</t>
    <phoneticPr fontId="1"/>
  </si>
  <si>
    <t>ワム380000</t>
    <phoneticPr fontId="1"/>
  </si>
  <si>
    <t>定員（換算）</t>
    <rPh sb="0" eb="2">
      <t>テイイン</t>
    </rPh>
    <rPh sb="3" eb="5">
      <t>カンサン</t>
    </rPh>
    <phoneticPr fontId="1"/>
  </si>
  <si>
    <t>ワム90000</t>
    <phoneticPr fontId="1"/>
  </si>
  <si>
    <t>ワキ5000</t>
    <phoneticPr fontId="1"/>
  </si>
  <si>
    <t>クム1000</t>
    <phoneticPr fontId="1"/>
  </si>
  <si>
    <t>積載量</t>
    <rPh sb="0" eb="3">
      <t>セキサイリョウ</t>
    </rPh>
    <phoneticPr fontId="1"/>
  </si>
  <si>
    <t>係数</t>
    <rPh sb="0" eb="2">
      <t>ケイスウ</t>
    </rPh>
    <phoneticPr fontId="1"/>
  </si>
  <si>
    <t>コキ104</t>
    <phoneticPr fontId="1"/>
  </si>
  <si>
    <t>EF65</t>
    <phoneticPr fontId="1"/>
  </si>
  <si>
    <t>EF12</t>
    <phoneticPr fontId="1"/>
  </si>
  <si>
    <t>オハ50</t>
    <phoneticPr fontId="1"/>
  </si>
  <si>
    <t>オハフ50</t>
    <phoneticPr fontId="1"/>
  </si>
  <si>
    <t>ED75</t>
    <phoneticPr fontId="1"/>
  </si>
  <si>
    <t>スハフ34200</t>
    <phoneticPr fontId="1"/>
  </si>
  <si>
    <t>D51</t>
    <phoneticPr fontId="1"/>
  </si>
  <si>
    <t>DD13</t>
    <phoneticPr fontId="1"/>
  </si>
  <si>
    <t>EF15</t>
    <phoneticPr fontId="1"/>
  </si>
  <si>
    <t>EF71</t>
    <phoneticPr fontId="1"/>
  </si>
  <si>
    <t>ED16</t>
    <phoneticPr fontId="1"/>
  </si>
  <si>
    <t>パレット</t>
    <phoneticPr fontId="1"/>
  </si>
  <si>
    <t>混載</t>
    <rPh sb="0" eb="2">
      <t>コンサイ</t>
    </rPh>
    <phoneticPr fontId="1"/>
  </si>
  <si>
    <t>保留</t>
    <rPh sb="0" eb="2">
      <t>ホリュウ</t>
    </rPh>
    <phoneticPr fontId="1"/>
  </si>
  <si>
    <t>ばら</t>
    <phoneticPr fontId="1"/>
  </si>
  <si>
    <t>トラ6000</t>
    <phoneticPr fontId="1"/>
  </si>
  <si>
    <t>トラ35000</t>
    <phoneticPr fontId="1"/>
  </si>
  <si>
    <t>トキ900</t>
    <phoneticPr fontId="1"/>
  </si>
  <si>
    <t>登場</t>
    <rPh sb="0" eb="2">
      <t>トウジョウ</t>
    </rPh>
    <phoneticPr fontId="1"/>
  </si>
  <si>
    <t>ton</t>
    <phoneticPr fontId="1"/>
  </si>
  <si>
    <t>石油類</t>
    <rPh sb="0" eb="2">
      <t>セキユ</t>
    </rPh>
    <rPh sb="2" eb="3">
      <t>ルイ</t>
    </rPh>
    <phoneticPr fontId="1"/>
  </si>
  <si>
    <t>長物</t>
    <rPh sb="0" eb="1">
      <t>ナガ</t>
    </rPh>
    <rPh sb="1" eb="2">
      <t>モノ</t>
    </rPh>
    <phoneticPr fontId="1"/>
  </si>
  <si>
    <t>チキ1000</t>
    <phoneticPr fontId="1"/>
  </si>
  <si>
    <t>チキ1500</t>
    <phoneticPr fontId="1"/>
  </si>
  <si>
    <t>チサ1600</t>
    <phoneticPr fontId="1"/>
  </si>
  <si>
    <t>1 ton</t>
    <phoneticPr fontId="1"/>
  </si>
  <si>
    <t>タ600</t>
    <phoneticPr fontId="1"/>
  </si>
  <si>
    <t>100 kg</t>
    <phoneticPr fontId="1"/>
  </si>
  <si>
    <t>冷蔵加工食品</t>
    <rPh sb="0" eb="2">
      <t>レイゾウ</t>
    </rPh>
    <rPh sb="2" eb="4">
      <t>カコウ</t>
    </rPh>
    <rPh sb="4" eb="6">
      <t>ショクヒン</t>
    </rPh>
    <phoneticPr fontId="1"/>
  </si>
  <si>
    <t>鮮魚</t>
    <rPh sb="0" eb="2">
      <t>センギョ</t>
    </rPh>
    <phoneticPr fontId="1"/>
  </si>
  <si>
    <t>レ2900</t>
    <phoneticPr fontId="1"/>
  </si>
  <si>
    <t>レ5000</t>
    <phoneticPr fontId="1"/>
  </si>
  <si>
    <t>レム5000</t>
    <phoneticPr fontId="1"/>
  </si>
  <si>
    <t>レサ5000</t>
    <phoneticPr fontId="1"/>
  </si>
  <si>
    <t>レサ10000</t>
    <phoneticPr fontId="1"/>
  </si>
  <si>
    <t>鉄鋼</t>
    <rPh sb="0" eb="2">
      <t>テッコウ</t>
    </rPh>
    <phoneticPr fontId="1"/>
  </si>
  <si>
    <t>木材チップ</t>
    <rPh sb="0" eb="2">
      <t>モクザイ</t>
    </rPh>
    <phoneticPr fontId="1"/>
  </si>
  <si>
    <t>化成品</t>
    <rPh sb="0" eb="3">
      <t>カセイヒン</t>
    </rPh>
    <phoneticPr fontId="1"/>
  </si>
  <si>
    <t>ワキ8000</t>
    <phoneticPr fontId="1"/>
  </si>
  <si>
    <t>ワキ10000</t>
    <phoneticPr fontId="1"/>
  </si>
  <si>
    <t>ワキ50000</t>
    <phoneticPr fontId="1"/>
  </si>
  <si>
    <t>チキ1000</t>
    <phoneticPr fontId="1"/>
  </si>
  <si>
    <t>ワキ9000</t>
    <phoneticPr fontId="1"/>
  </si>
  <si>
    <t>トラ90000</t>
    <phoneticPr fontId="1"/>
  </si>
  <si>
    <t>ワム480000</t>
    <phoneticPr fontId="1"/>
  </si>
  <si>
    <t>1 ton</t>
    <phoneticPr fontId="1"/>
  </si>
  <si>
    <t>100 kg</t>
    <phoneticPr fontId="1"/>
  </si>
  <si>
    <t>1 ton</t>
    <phoneticPr fontId="1"/>
  </si>
  <si>
    <t>ワム580000</t>
    <phoneticPr fontId="1"/>
  </si>
  <si>
    <t>タム100</t>
    <phoneticPr fontId="1"/>
  </si>
  <si>
    <t>ばら</t>
    <phoneticPr fontId="1"/>
  </si>
  <si>
    <t>ton</t>
    <phoneticPr fontId="1"/>
  </si>
  <si>
    <t>100 kg</t>
    <phoneticPr fontId="1"/>
  </si>
  <si>
    <t>パレット</t>
    <phoneticPr fontId="1"/>
  </si>
  <si>
    <t>1 ton</t>
    <phoneticPr fontId="1"/>
  </si>
  <si>
    <t>fishing_boat</t>
    <phoneticPr fontId="1"/>
  </si>
  <si>
    <t>c11c_bulk_barge</t>
    <phoneticPr fontId="1"/>
  </si>
  <si>
    <t>c11c_wood_barge</t>
    <phoneticPr fontId="1"/>
  </si>
  <si>
    <t>C273U_Cement_Barge</t>
  </si>
  <si>
    <t>C35_Goods_Barge</t>
  </si>
  <si>
    <t>P11C_Bulk_Boat</t>
  </si>
  <si>
    <t>P11C_Wood_Boat</t>
  </si>
  <si>
    <t>タグボート</t>
    <phoneticPr fontId="1"/>
  </si>
  <si>
    <t>R2A_Push-Tug</t>
  </si>
  <si>
    <t>国鉄風通勤形電車1</t>
    <phoneticPr fontId="1"/>
  </si>
  <si>
    <t>4扉中間車</t>
    <rPh sb="1" eb="2">
      <t>トビラ</t>
    </rPh>
    <rPh sb="2" eb="5">
      <t>チュウカンシャ</t>
    </rPh>
    <phoneticPr fontId="1"/>
  </si>
  <si>
    <t>6扉中間車</t>
    <rPh sb="1" eb="2">
      <t>トビラ</t>
    </rPh>
    <rPh sb="2" eb="5">
      <t>チュウカンシャ</t>
    </rPh>
    <phoneticPr fontId="1"/>
  </si>
  <si>
    <t>4扉先頭/後尾車A</t>
    <rPh sb="1" eb="2">
      <t>トビラ</t>
    </rPh>
    <rPh sb="2" eb="4">
      <t>セントウ</t>
    </rPh>
    <rPh sb="5" eb="7">
      <t>コウビ</t>
    </rPh>
    <rPh sb="7" eb="8">
      <t>シャ</t>
    </rPh>
    <phoneticPr fontId="1"/>
  </si>
  <si>
    <t>ギア比（実車）</t>
    <rPh sb="2" eb="3">
      <t>ヒ</t>
    </rPh>
    <rPh sb="4" eb="6">
      <t>ジッシャ</t>
    </rPh>
    <phoneticPr fontId="1"/>
  </si>
  <si>
    <t>ギア比（ゲーム内）</t>
    <rPh sb="2" eb="3">
      <t>ヒ</t>
    </rPh>
    <rPh sb="7" eb="8">
      <t>ナイ</t>
    </rPh>
    <phoneticPr fontId="1"/>
  </si>
  <si>
    <t>ボンネットバス1</t>
    <phoneticPr fontId="1"/>
  </si>
  <si>
    <t>カテゴリ</t>
    <phoneticPr fontId="1"/>
  </si>
  <si>
    <t>冷蔵</t>
    <rPh sb="0" eb="2">
      <t>レイゾウ</t>
    </rPh>
    <phoneticPr fontId="1"/>
  </si>
  <si>
    <t>冷凍</t>
    <rPh sb="0" eb="2">
      <t>レイトウ</t>
    </rPh>
    <phoneticPr fontId="1"/>
  </si>
  <si>
    <t>カテゴリ番号</t>
    <rPh sb="4" eb="6">
      <t>バンゴウ</t>
    </rPh>
    <phoneticPr fontId="1"/>
  </si>
  <si>
    <t>液体</t>
    <rPh sb="0" eb="2">
      <t>エキタイ</t>
    </rPh>
    <phoneticPr fontId="1"/>
  </si>
  <si>
    <t>気体</t>
    <rPh sb="0" eb="2">
      <t>キタイ</t>
    </rPh>
    <phoneticPr fontId="1"/>
  </si>
  <si>
    <t>長物</t>
    <rPh sb="0" eb="2">
      <t>ナガモノ</t>
    </rPh>
    <phoneticPr fontId="1"/>
  </si>
  <si>
    <t>旅客</t>
    <rPh sb="0" eb="2">
      <t>リョカク</t>
    </rPh>
    <phoneticPr fontId="1"/>
  </si>
  <si>
    <t>貨物</t>
    <rPh sb="0" eb="2">
      <t>カモツ</t>
    </rPh>
    <phoneticPr fontId="1"/>
  </si>
  <si>
    <t>粉粒体</t>
    <rPh sb="0" eb="3">
      <t>フンリュウタイ</t>
    </rPh>
    <phoneticPr fontId="1"/>
  </si>
  <si>
    <t>廃棄物</t>
    <rPh sb="0" eb="3">
      <t>ハイキブツ</t>
    </rPh>
    <phoneticPr fontId="1"/>
  </si>
  <si>
    <t>水産物</t>
    <rPh sb="0" eb="3">
      <t>スイサンブツ</t>
    </rPh>
    <phoneticPr fontId="1"/>
  </si>
  <si>
    <t>小荷物</t>
    <rPh sb="0" eb="3">
      <t>コニモツ</t>
    </rPh>
    <phoneticPr fontId="1"/>
  </si>
  <si>
    <t>4扉先頭/後尾車B</t>
    <rPh sb="1" eb="2">
      <t>トビラ</t>
    </rPh>
    <rPh sb="2" eb="4">
      <t>セントウ</t>
    </rPh>
    <rPh sb="5" eb="7">
      <t>コウビ</t>
    </rPh>
    <rPh sb="7" eb="8">
      <t>シャ</t>
    </rPh>
    <phoneticPr fontId="1"/>
  </si>
  <si>
    <t>コンクリート</t>
    <phoneticPr fontId="1"/>
  </si>
  <si>
    <t>家畜</t>
    <rPh sb="0" eb="2">
      <t>カチク</t>
    </rPh>
    <phoneticPr fontId="1"/>
  </si>
  <si>
    <t>1968年式路線バス</t>
    <rPh sb="4" eb="6">
      <t>ネンシキ</t>
    </rPh>
    <rPh sb="6" eb="10">
      <t>ロセン</t>
    </rPh>
    <phoneticPr fontId="1"/>
  </si>
  <si>
    <t>1984年式路線バス</t>
    <rPh sb="4" eb="6">
      <t>ネンシキ</t>
    </rPh>
    <rPh sb="6" eb="10">
      <t>ロセン</t>
    </rPh>
    <phoneticPr fontId="1"/>
  </si>
  <si>
    <t>2000年式路線バス</t>
    <rPh sb="4" eb="6">
      <t>ネンシキ</t>
    </rPh>
    <rPh sb="6" eb="8">
      <t>ロセン</t>
    </rPh>
    <phoneticPr fontId="1"/>
  </si>
  <si>
    <t>2006年式小型バス（ショート）</t>
    <rPh sb="4" eb="6">
      <t>ネンシキ</t>
    </rPh>
    <rPh sb="6" eb="8">
      <t>コガタ</t>
    </rPh>
    <phoneticPr fontId="1"/>
  </si>
  <si>
    <t>2006年式小型バス（ロング）</t>
    <phoneticPr fontId="1"/>
  </si>
  <si>
    <t>1992年式小型バス</t>
    <rPh sb="4" eb="6">
      <t>ネンシキ</t>
    </rPh>
    <rPh sb="6" eb="8">
      <t>コガタ</t>
    </rPh>
    <phoneticPr fontId="1"/>
  </si>
  <si>
    <t>1988年式コンテナトラック</t>
    <rPh sb="4" eb="6">
      <t>ネンシキ</t>
    </rPh>
    <phoneticPr fontId="1"/>
  </si>
  <si>
    <t>1990年式タンクローリー</t>
    <rPh sb="4" eb="6">
      <t>ネンシキ</t>
    </rPh>
    <phoneticPr fontId="1"/>
  </si>
  <si>
    <t>1988年式トラック</t>
    <rPh sb="4" eb="6">
      <t>ネンシキ</t>
    </rPh>
    <phoneticPr fontId="1"/>
  </si>
  <si>
    <t>1970年式重ダンプトラック</t>
    <rPh sb="4" eb="6">
      <t>ネンシキ</t>
    </rPh>
    <phoneticPr fontId="1"/>
  </si>
  <si>
    <t>1989年式小型トラック</t>
    <rPh sb="4" eb="6">
      <t>ネンシキ</t>
    </rPh>
    <rPh sb="6" eb="8">
      <t>コガタ</t>
    </rPh>
    <phoneticPr fontId="1"/>
  </si>
  <si>
    <t>1988年式平台トラック</t>
    <rPh sb="4" eb="6">
      <t>ネンシキ</t>
    </rPh>
    <rPh sb="6" eb="8">
      <t>ヒラダイ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</si>
</sst>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FF05-1A64-4ED6-A821-85E9FCBAE7BD}">
  <dimension ref="A1:H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.75"/>
  <cols>
    <col min="1" max="1" width="18.375" style="1" bestFit="1" customWidth="1"/>
    <col min="2" max="3" width="5.25" style="1" bestFit="1" customWidth="1"/>
    <col min="4" max="4" width="15.125" style="1" bestFit="1" customWidth="1"/>
    <col min="5" max="5" width="19.125" style="1" bestFit="1" customWidth="1"/>
    <col min="6" max="6" width="9" style="1"/>
    <col min="7" max="7" width="7.125" style="1" bestFit="1" customWidth="1"/>
    <col min="8" max="8" width="7.5" style="1" bestFit="1" customWidth="1"/>
    <col min="9" max="16384" width="9" style="1"/>
  </cols>
  <sheetData>
    <row r="1" spans="1:8">
      <c r="A1" s="1" t="s">
        <v>1</v>
      </c>
      <c r="B1" s="1" t="s">
        <v>0</v>
      </c>
      <c r="C1" s="1" t="s">
        <v>2</v>
      </c>
      <c r="D1" s="1" t="s">
        <v>125</v>
      </c>
      <c r="E1" s="1" t="s">
        <v>126</v>
      </c>
      <c r="F1" s="1" t="s">
        <v>6</v>
      </c>
      <c r="G1" s="1" t="s">
        <v>4</v>
      </c>
      <c r="H1" s="1" t="s">
        <v>5</v>
      </c>
    </row>
    <row r="2" spans="1:8">
      <c r="A2" s="1" t="s">
        <v>121</v>
      </c>
    </row>
    <row r="3" spans="1:8">
      <c r="A3" s="1" t="s">
        <v>124</v>
      </c>
      <c r="B3" s="1">
        <v>136</v>
      </c>
      <c r="C3" s="1">
        <v>480</v>
      </c>
      <c r="D3" s="1">
        <v>607</v>
      </c>
      <c r="E3" s="1" t="str">
        <f>FIXED(D3*2/7,0,TRUE)</f>
        <v>173</v>
      </c>
      <c r="F3" s="1">
        <v>120</v>
      </c>
      <c r="G3" s="1" t="str">
        <f>FIXED(0.004*(B3*F3^0.5/10+((C3*E3)*F3^0.4/1000))*0.75,2,TRUE)</f>
        <v>2.14</v>
      </c>
      <c r="H3" s="1" t="str">
        <f>FIXED((800*B3*(F3^0.5))/10+(C3*E3*F3^0.7)/20,0,TRUE)</f>
        <v>237675</v>
      </c>
    </row>
    <row r="4" spans="1:8">
      <c r="A4" s="1" t="s">
        <v>141</v>
      </c>
      <c r="B4" s="1">
        <v>136</v>
      </c>
      <c r="C4" s="1">
        <v>480</v>
      </c>
      <c r="D4" s="1">
        <v>607</v>
      </c>
      <c r="E4" s="1" t="str">
        <f>FIXED(D4*2/7,0,TRUE)</f>
        <v>173</v>
      </c>
      <c r="F4" s="1">
        <v>121</v>
      </c>
      <c r="G4" s="1" t="str">
        <f>FIXED(0.004*(B4*F4^0.5/10+((C4*E4)*F4^0.4/1000))*0.75,2,TRUE)</f>
        <v>2.15</v>
      </c>
      <c r="H4" s="1" t="str">
        <f>FIXED((800*B4*(F4^0.5))/10+(C4*E4*F4^0.7)/20,0,TRUE)</f>
        <v>238861</v>
      </c>
    </row>
    <row r="5" spans="1:8">
      <c r="A5" s="1" t="s">
        <v>122</v>
      </c>
      <c r="B5" s="1">
        <v>144</v>
      </c>
      <c r="C5" s="1">
        <v>480</v>
      </c>
      <c r="D5" s="1">
        <v>607</v>
      </c>
      <c r="E5" s="1" t="str">
        <f t="shared" ref="E5:E6" si="0">FIXED(D5*2/7,0,TRUE)</f>
        <v>173</v>
      </c>
      <c r="F5" s="1">
        <v>120</v>
      </c>
      <c r="G5" s="1" t="str">
        <f t="shared" ref="G5:G6" si="1">FIXED(0.004*(B5*F5^0.5/10+((C5*E5)*F5^0.4/1000))*0.75,2,TRUE)</f>
        <v>2.16</v>
      </c>
      <c r="H5" s="1" t="str">
        <f t="shared" ref="H5:H6" si="2">FIXED((800*B5*(F5^0.5))/10+(C5*E5*F5^0.7)/20,0,TRUE)</f>
        <v>244686</v>
      </c>
    </row>
    <row r="6" spans="1:8">
      <c r="A6" s="1" t="s">
        <v>123</v>
      </c>
      <c r="B6" s="1">
        <v>157</v>
      </c>
      <c r="C6" s="1">
        <v>480</v>
      </c>
      <c r="D6" s="1">
        <v>607</v>
      </c>
      <c r="E6" s="1" t="str">
        <f t="shared" si="0"/>
        <v>173</v>
      </c>
      <c r="F6" s="1">
        <v>120</v>
      </c>
      <c r="G6" s="1" t="str">
        <f t="shared" si="1"/>
        <v>2.21</v>
      </c>
      <c r="H6" s="1" t="str">
        <f t="shared" si="2"/>
        <v>256079</v>
      </c>
    </row>
  </sheetData>
  <phoneticPr fontId="1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7C1C-5FCF-4A49-8D48-5D024A9A577C}">
  <dimension ref="A1:I17"/>
  <sheetViews>
    <sheetView workbookViewId="0">
      <selection activeCell="F2" sqref="F2"/>
    </sheetView>
  </sheetViews>
  <sheetFormatPr defaultRowHeight="13.5"/>
  <sheetData>
    <row r="1" spans="1:9">
      <c r="A1" t="s">
        <v>1</v>
      </c>
      <c r="B1" t="s">
        <v>0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9">
      <c r="A2" t="s">
        <v>8</v>
      </c>
      <c r="B2">
        <v>84</v>
      </c>
      <c r="C2">
        <v>270</v>
      </c>
      <c r="D2">
        <v>130</v>
      </c>
      <c r="E2">
        <v>95</v>
      </c>
      <c r="F2">
        <f>0.004*(B2*E2^0.5/10+(2*(C2*D2)*E2^0.4/1000))*0.85</f>
        <v>1.7537538118374094</v>
      </c>
      <c r="G2">
        <f>(800*B2*(E2^0.5))/10+(2*C2*D2*E2^0.7)/20</f>
        <v>150556.15900716808</v>
      </c>
      <c r="I2">
        <v>85</v>
      </c>
    </row>
    <row r="3" spans="1:9">
      <c r="A3" t="s">
        <v>9</v>
      </c>
      <c r="B3">
        <v>84</v>
      </c>
      <c r="C3">
        <v>135</v>
      </c>
      <c r="D3">
        <v>130</v>
      </c>
      <c r="E3">
        <v>95</v>
      </c>
      <c r="F3">
        <f>0.004*(B3*E3^0.5/10+(2*(C3*D3)*E3^0.4/1000))*0.85</f>
        <v>1.0160611291625765</v>
      </c>
      <c r="G3">
        <f>(800*B3*(E3^0.5))/10+(2*C3*D3*E3^0.7)/20</f>
        <v>108027.30850214217</v>
      </c>
    </row>
    <row r="4" spans="1:9">
      <c r="A4" t="s">
        <v>10</v>
      </c>
      <c r="B4">
        <v>52</v>
      </c>
      <c r="C4">
        <v>135</v>
      </c>
      <c r="D4">
        <v>130</v>
      </c>
      <c r="E4">
        <v>95</v>
      </c>
      <c r="F4">
        <f>0.004*(B4*E4^0.5/10+(2*(C4*D4)*E4^0.4/1000))*0.85</f>
        <v>0.9100160066910552</v>
      </c>
      <c r="G4">
        <f>(800*B4*(E4^0.5))/10+(2*C4*D4*E4^0.7)/20</f>
        <v>83075.514979431202</v>
      </c>
    </row>
    <row r="5" spans="1:9">
      <c r="A5" t="s">
        <v>7</v>
      </c>
      <c r="F5">
        <f>F2*10</f>
        <v>17.537538118374094</v>
      </c>
      <c r="G5">
        <f>G2*10</f>
        <v>1505561.590071681</v>
      </c>
    </row>
    <row r="7" spans="1:9">
      <c r="A7" t="s">
        <v>1</v>
      </c>
      <c r="B7" t="s">
        <v>0</v>
      </c>
      <c r="C7" t="s">
        <v>2</v>
      </c>
      <c r="D7" t="s">
        <v>3</v>
      </c>
      <c r="E7" t="s">
        <v>6</v>
      </c>
      <c r="F7" t="s">
        <v>4</v>
      </c>
      <c r="G7" t="s">
        <v>5</v>
      </c>
    </row>
    <row r="8" spans="1:9">
      <c r="A8" t="s">
        <v>33</v>
      </c>
      <c r="B8">
        <v>132</v>
      </c>
      <c r="C8">
        <v>135</v>
      </c>
      <c r="D8">
        <v>130</v>
      </c>
      <c r="E8">
        <v>95</v>
      </c>
      <c r="F8">
        <f>0.004*(B8*E8^0.5/10+(2*(C8*D8)*E8^0.4/1000))*0.85</f>
        <v>1.1751288128698589</v>
      </c>
      <c r="G8">
        <f>(800*B8*(E8^0.5))/10+(2*C8*D8*E8^0.7)/20</f>
        <v>145454.99878620857</v>
      </c>
      <c r="I8">
        <v>85</v>
      </c>
    </row>
    <row r="9" spans="1:9">
      <c r="A9" t="s">
        <v>34</v>
      </c>
      <c r="B9">
        <v>128</v>
      </c>
      <c r="C9">
        <v>135</v>
      </c>
      <c r="D9">
        <v>130</v>
      </c>
      <c r="E9">
        <v>95</v>
      </c>
      <c r="F9">
        <f>0.004*(B9*E9^0.5/10+(2*(C9*D9)*E9^0.4/1000))*0.85</f>
        <v>1.1618731725609188</v>
      </c>
      <c r="G9">
        <f>(800*B9*(E9^0.5))/10+(2*C9*D9*E9^0.7)/20</f>
        <v>142336.02459586971</v>
      </c>
    </row>
    <row r="10" spans="1:9">
      <c r="A10" t="s">
        <v>35</v>
      </c>
      <c r="B10">
        <v>136</v>
      </c>
      <c r="C10">
        <v>135</v>
      </c>
      <c r="D10">
        <v>130</v>
      </c>
      <c r="E10">
        <v>95</v>
      </c>
      <c r="F10">
        <f>0.004*(B10*E10^0.5/10+(2*(C10*D10)*E10^0.4/1000))*0.85</f>
        <v>1.1883844531787993</v>
      </c>
      <c r="G10">
        <f>(800*B10*(E10^0.5))/10+(2*C10*D10*E10^0.7)/20</f>
        <v>148573.97297654743</v>
      </c>
    </row>
    <row r="11" spans="1:9">
      <c r="A11" t="s">
        <v>7</v>
      </c>
      <c r="F11">
        <f>F8*10</f>
        <v>11.75128812869859</v>
      </c>
      <c r="G11">
        <f>G8*10</f>
        <v>1454549.9878620857</v>
      </c>
    </row>
    <row r="13" spans="1:9">
      <c r="A13" t="s">
        <v>1</v>
      </c>
      <c r="B13" t="s">
        <v>0</v>
      </c>
      <c r="C13" t="s">
        <v>2</v>
      </c>
      <c r="D13" t="s">
        <v>3</v>
      </c>
      <c r="E13" t="s">
        <v>6</v>
      </c>
      <c r="F13" t="s">
        <v>4</v>
      </c>
      <c r="G13" t="s">
        <v>5</v>
      </c>
    </row>
    <row r="14" spans="1:9">
      <c r="A14" t="s">
        <v>26</v>
      </c>
      <c r="B14">
        <v>112</v>
      </c>
      <c r="C14">
        <v>248</v>
      </c>
      <c r="D14">
        <v>117</v>
      </c>
      <c r="E14">
        <v>95</v>
      </c>
      <c r="F14">
        <f>0.004*(B14*E14^0.5/10+(2*(C14*D14)*E14^0.4/1000))*0.7</f>
        <v>1.3100786840834129</v>
      </c>
      <c r="G14">
        <f>(800*B14*(E14^0.5))/10+(2*C14*D14*E14^0.7)/20</f>
        <v>157645.64349779784</v>
      </c>
      <c r="I14">
        <v>70</v>
      </c>
    </row>
    <row r="16" spans="1:9">
      <c r="A16" t="s">
        <v>1</v>
      </c>
      <c r="B16" t="s">
        <v>0</v>
      </c>
      <c r="C16" t="s">
        <v>2</v>
      </c>
      <c r="D16" t="s">
        <v>3</v>
      </c>
      <c r="E16" t="s">
        <v>6</v>
      </c>
      <c r="F16" t="s">
        <v>4</v>
      </c>
      <c r="G16" t="s">
        <v>5</v>
      </c>
    </row>
    <row r="17" spans="1:9">
      <c r="A17" t="s">
        <v>36</v>
      </c>
      <c r="B17">
        <v>125</v>
      </c>
      <c r="C17">
        <v>113</v>
      </c>
      <c r="D17">
        <v>125</v>
      </c>
      <c r="E17">
        <v>75</v>
      </c>
      <c r="F17">
        <f>0.004*(B17*E17^0.5/10+(2*(C17*D17)*E17^0.4/1000))</f>
        <v>1.0684942558175028</v>
      </c>
      <c r="G17">
        <f>(800*B17*(E17^0.5))/10+(2*C17*D17*E17^0.7)/20</f>
        <v>115611.44571778744</v>
      </c>
      <c r="I17">
        <v>100</v>
      </c>
    </row>
  </sheetData>
  <phoneticPr fontId="1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235E-7DA3-4530-BD8D-D5A393DDC7F6}">
  <dimension ref="A1:I17"/>
  <sheetViews>
    <sheetView workbookViewId="0">
      <selection activeCell="D18" sqref="D18"/>
    </sheetView>
  </sheetViews>
  <sheetFormatPr defaultRowHeight="13.5"/>
  <cols>
    <col min="1" max="1" width="11.875" bestFit="1" customWidth="1"/>
  </cols>
  <sheetData>
    <row r="1" spans="1:9">
      <c r="A1" t="s">
        <v>1</v>
      </c>
      <c r="B1" t="s">
        <v>0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9">
      <c r="A2" t="s">
        <v>15</v>
      </c>
      <c r="B2">
        <v>88</v>
      </c>
      <c r="E2">
        <v>95</v>
      </c>
      <c r="F2">
        <f t="shared" ref="F2:F8" si="0">0.004*(B2*E2^0.5/10+((C2*D2)*E2^0.4/1000))*0.95</f>
        <v>0.32593280289041171</v>
      </c>
      <c r="G2">
        <f t="shared" ref="G2:G8" si="1">(800*B2*(E2^0.5))/10+C2*D2*E2/20</f>
        <v>68617.432187455095</v>
      </c>
      <c r="I2">
        <v>95</v>
      </c>
    </row>
    <row r="3" spans="1:9">
      <c r="A3" t="s">
        <v>16</v>
      </c>
      <c r="B3">
        <v>80</v>
      </c>
      <c r="E3">
        <v>95</v>
      </c>
      <c r="F3">
        <f t="shared" si="0"/>
        <v>0.29630254808219247</v>
      </c>
      <c r="G3">
        <f t="shared" si="1"/>
        <v>62379.48380677736</v>
      </c>
    </row>
    <row r="4" spans="1:9">
      <c r="A4" t="s">
        <v>17</v>
      </c>
      <c r="B4">
        <v>80</v>
      </c>
      <c r="E4">
        <v>95</v>
      </c>
      <c r="F4">
        <f t="shared" si="0"/>
        <v>0.29630254808219247</v>
      </c>
      <c r="G4">
        <f t="shared" si="1"/>
        <v>62379.48380677736</v>
      </c>
    </row>
    <row r="5" spans="1:9">
      <c r="A5" t="s">
        <v>43</v>
      </c>
      <c r="B5">
        <v>72</v>
      </c>
      <c r="E5">
        <v>95</v>
      </c>
      <c r="F5">
        <f>0.004*(B5*E5^0.5/10+((C5*D5)*E5^0.4/1000))*0.95</f>
        <v>0.26667229327397324</v>
      </c>
      <c r="G5">
        <f>(800*B5*(E5^0.5))/10+C5*D5*E5/20</f>
        <v>56141.535426099632</v>
      </c>
    </row>
    <row r="6" spans="1:9">
      <c r="A6" t="s">
        <v>18</v>
      </c>
      <c r="B6">
        <v>48</v>
      </c>
      <c r="E6">
        <v>95</v>
      </c>
      <c r="F6">
        <f t="shared" si="0"/>
        <v>0.1777815288493155</v>
      </c>
      <c r="G6">
        <f t="shared" si="1"/>
        <v>37427.690284066419</v>
      </c>
    </row>
    <row r="7" spans="1:9">
      <c r="A7" t="s">
        <v>19</v>
      </c>
      <c r="B7">
        <v>44</v>
      </c>
      <c r="E7">
        <v>95</v>
      </c>
      <c r="F7">
        <f t="shared" si="0"/>
        <v>0.16296640144520586</v>
      </c>
      <c r="G7">
        <f t="shared" si="1"/>
        <v>34308.716093727548</v>
      </c>
    </row>
    <row r="8" spans="1:9">
      <c r="A8" t="s">
        <v>42</v>
      </c>
      <c r="B8">
        <v>52</v>
      </c>
      <c r="E8">
        <v>95</v>
      </c>
      <c r="F8">
        <f t="shared" si="0"/>
        <v>0.19259665625342509</v>
      </c>
      <c r="G8">
        <f t="shared" si="1"/>
        <v>40546.664474405283</v>
      </c>
    </row>
    <row r="10" spans="1:9">
      <c r="A10" t="s">
        <v>28</v>
      </c>
      <c r="B10">
        <v>48</v>
      </c>
      <c r="E10">
        <v>95</v>
      </c>
      <c r="F10">
        <f>0.004*(B10*E10^0.5/10+((C10*D10)*E10^0.4/1000))</f>
        <v>0.18713845142033211</v>
      </c>
      <c r="G10">
        <f>(800*B10*(E10^0.5))/10+C10*D10*E10/20</f>
        <v>37427.690284066419</v>
      </c>
      <c r="I10">
        <v>100</v>
      </c>
    </row>
    <row r="11" spans="1:9">
      <c r="A11" t="s">
        <v>25</v>
      </c>
      <c r="B11">
        <v>60</v>
      </c>
      <c r="E11">
        <v>95</v>
      </c>
      <c r="F11">
        <f>0.004*(B11*E11^0.5/10+((C11*D11)*E11^0.4/1000))</f>
        <v>0.23392306427541512</v>
      </c>
      <c r="G11">
        <f>(800*B11*(E11^0.5))/10+C11*D11*E11/20</f>
        <v>46784.612855083025</v>
      </c>
    </row>
    <row r="12" spans="1:9">
      <c r="A12" t="s">
        <v>29</v>
      </c>
      <c r="B12">
        <v>88</v>
      </c>
      <c r="E12">
        <v>95</v>
      </c>
      <c r="F12">
        <f>0.004*(B12*E12^0.5/10+((C12*D12)*E12^0.4/1000))</f>
        <v>0.34308716093727548</v>
      </c>
      <c r="G12">
        <f>(800*B12*(E12^0.5))/10+C12*D12*E12/20</f>
        <v>68617.432187455095</v>
      </c>
    </row>
    <row r="13" spans="1:9">
      <c r="A13" t="s">
        <v>30</v>
      </c>
      <c r="B13">
        <v>24</v>
      </c>
      <c r="E13">
        <v>95</v>
      </c>
      <c r="F13">
        <f>0.004*(B13*E13^0.5/10+((C13*D13)*E13^0.4/1000))</f>
        <v>9.3569225710166057E-2</v>
      </c>
      <c r="G13">
        <f>(800*B13*(E13^0.5))/10+C13*D13*E13/20</f>
        <v>18713.845142033209</v>
      </c>
    </row>
    <row r="14" spans="1:9">
      <c r="A14" t="s">
        <v>62</v>
      </c>
      <c r="B14">
        <v>80</v>
      </c>
      <c r="E14">
        <v>95</v>
      </c>
      <c r="F14">
        <f>0.004*(B14*E14^0.5/10+((C14*D14)*E14^0.4/1000))</f>
        <v>0.31189741903388685</v>
      </c>
      <c r="G14">
        <f>(800*B14*(E14^0.5))/10+C14*D14*E14/20</f>
        <v>62379.48380677736</v>
      </c>
    </row>
    <row r="16" spans="1:9">
      <c r="A16" t="s">
        <v>59</v>
      </c>
      <c r="B16">
        <v>112</v>
      </c>
      <c r="E16">
        <v>95</v>
      </c>
      <c r="F16">
        <f>0.004*(B16*E16^0.5/10+((C16*D16)*E16^0.4/1000))*0.8</f>
        <v>0.34932510931795324</v>
      </c>
      <c r="G16">
        <f>(800*B16*(E16^0.5))/10+C16*D16*E16/20</f>
        <v>87331.277329488308</v>
      </c>
      <c r="I16">
        <v>80</v>
      </c>
    </row>
    <row r="17" spans="1:9">
      <c r="A17" t="s">
        <v>60</v>
      </c>
      <c r="B17">
        <v>92</v>
      </c>
      <c r="E17">
        <v>95</v>
      </c>
      <c r="F17">
        <f>0.004*(B17*E17^0.5/10+((C17*D17)*E17^0.4/1000))*0.8</f>
        <v>0.28694562551117592</v>
      </c>
      <c r="G17">
        <f>(800*B17*(E17^0.5))/10+C17*D17*E17/20</f>
        <v>71736.406377793959</v>
      </c>
      <c r="I17">
        <v>80</v>
      </c>
    </row>
  </sheetData>
  <phoneticPr fontId="1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1E6F-553C-4751-95B3-9CB48D0466CC}">
  <dimension ref="A1:K75"/>
  <sheetViews>
    <sheetView workbookViewId="0">
      <selection activeCell="I50" sqref="I50"/>
    </sheetView>
  </sheetViews>
  <sheetFormatPr defaultRowHeight="13.5"/>
  <cols>
    <col min="1" max="1" width="12.625" customWidth="1"/>
    <col min="2" max="2" width="7.125" bestFit="1" customWidth="1"/>
    <col min="3" max="3" width="5.25" bestFit="1" customWidth="1"/>
    <col min="4" max="4" width="11.125" bestFit="1" customWidth="1"/>
  </cols>
  <sheetData>
    <row r="1" spans="1:11">
      <c r="A1" t="s">
        <v>1</v>
      </c>
      <c r="B1" t="s">
        <v>54</v>
      </c>
      <c r="C1" t="s">
        <v>55</v>
      </c>
      <c r="D1" t="s">
        <v>50</v>
      </c>
      <c r="E1" t="s">
        <v>2</v>
      </c>
      <c r="F1" t="s">
        <v>3</v>
      </c>
      <c r="G1" t="s">
        <v>6</v>
      </c>
      <c r="H1" t="s">
        <v>4</v>
      </c>
      <c r="I1" t="s">
        <v>5</v>
      </c>
      <c r="J1" t="s">
        <v>75</v>
      </c>
      <c r="K1" t="s">
        <v>55</v>
      </c>
    </row>
    <row r="2" spans="1:11">
      <c r="A2" t="s">
        <v>71</v>
      </c>
      <c r="B2" t="s">
        <v>76</v>
      </c>
    </row>
    <row r="3" spans="1:11">
      <c r="A3" t="s">
        <v>72</v>
      </c>
      <c r="B3">
        <v>17</v>
      </c>
      <c r="C3">
        <v>2.2000000000000002</v>
      </c>
      <c r="D3">
        <f>B3*C3</f>
        <v>37.400000000000006</v>
      </c>
      <c r="G3">
        <v>65</v>
      </c>
      <c r="H3">
        <f>0.004*(D3*G3^0.5/10+((E3*F3)*G3^0.4/1000))*K3*100</f>
        <v>12.061137591454631</v>
      </c>
      <c r="I3">
        <f>(800*D3*(G3^0.5))/10+E3*F3*G3/20</f>
        <v>24122.275182909263</v>
      </c>
      <c r="J3">
        <v>1941</v>
      </c>
      <c r="K3">
        <v>1</v>
      </c>
    </row>
    <row r="4" spans="1:11">
      <c r="A4" t="s">
        <v>74</v>
      </c>
      <c r="B4">
        <v>30</v>
      </c>
      <c r="C4">
        <v>2.2000000000000002</v>
      </c>
      <c r="D4">
        <f>B4*C4</f>
        <v>66</v>
      </c>
      <c r="G4">
        <v>65</v>
      </c>
      <c r="H4">
        <f>0.004*(D4*G4^0.5/10+((E4*F4)*G4^0.4/1000))*K4*100</f>
        <v>34.054976728813067</v>
      </c>
      <c r="I4">
        <f>(800*D4*(G4^0.5))/10+E4*F4*G4/20</f>
        <v>42568.720911016339</v>
      </c>
      <c r="J4">
        <v>1943</v>
      </c>
      <c r="K4">
        <v>1.6</v>
      </c>
    </row>
    <row r="5" spans="1:11">
      <c r="A5" t="s">
        <v>73</v>
      </c>
      <c r="B5">
        <v>17</v>
      </c>
      <c r="C5">
        <v>2.2000000000000002</v>
      </c>
      <c r="D5">
        <f>B5*C5</f>
        <v>37.400000000000006</v>
      </c>
      <c r="G5">
        <v>75</v>
      </c>
      <c r="H5">
        <f>0.004*(D5*G5^0.5/10+((E5*F5)*G5^0.4/1000))*K5*100</f>
        <v>11.660166036553685</v>
      </c>
      <c r="I5">
        <f>(800*D5*(G5^0.5))/10+E5*F5*G5/20</f>
        <v>25911.480081230409</v>
      </c>
      <c r="J5">
        <v>1956</v>
      </c>
      <c r="K5">
        <v>0.9</v>
      </c>
    </row>
    <row r="8" spans="1:11">
      <c r="A8" t="s">
        <v>69</v>
      </c>
      <c r="B8" t="s">
        <v>84</v>
      </c>
    </row>
    <row r="9" spans="1:11">
      <c r="A9" t="s">
        <v>45</v>
      </c>
      <c r="B9">
        <v>150</v>
      </c>
      <c r="C9">
        <v>0.4</v>
      </c>
      <c r="D9">
        <f>B9*C9</f>
        <v>60</v>
      </c>
      <c r="G9">
        <v>65</v>
      </c>
      <c r="H9">
        <f>0.004*(D9*G9^0.5/10+((E9*F9)*G9^0.4/1000))*K9*100</f>
        <v>20.316889525712345</v>
      </c>
      <c r="I9">
        <f t="shared" ref="I9:I19" si="0">(800*D9*(G9^0.5))/10+E9*F9*G9/20</f>
        <v>38698.837191833038</v>
      </c>
      <c r="J9">
        <v>1915</v>
      </c>
      <c r="K9">
        <v>1.05</v>
      </c>
    </row>
    <row r="10" spans="1:11">
      <c r="A10" t="s">
        <v>46</v>
      </c>
      <c r="B10">
        <v>150</v>
      </c>
      <c r="C10">
        <v>0.4</v>
      </c>
      <c r="D10">
        <f>B10*C10</f>
        <v>60</v>
      </c>
      <c r="G10">
        <v>65</v>
      </c>
      <c r="H10">
        <f>0.004*(D10*G10^0.5/10+((E10*F10)*G10^0.4/1000))*K10*100</f>
        <v>20.316889525712345</v>
      </c>
      <c r="I10">
        <f t="shared" si="0"/>
        <v>38698.837191833038</v>
      </c>
      <c r="J10">
        <v>1917</v>
      </c>
      <c r="K10">
        <v>1.05</v>
      </c>
    </row>
    <row r="11" spans="1:11">
      <c r="A11" t="s">
        <v>47</v>
      </c>
      <c r="B11">
        <v>150</v>
      </c>
      <c r="C11">
        <v>0.4</v>
      </c>
      <c r="D11">
        <f>B11*C11</f>
        <v>60</v>
      </c>
      <c r="G11">
        <v>65</v>
      </c>
      <c r="H11">
        <f>0.004*(D11*G11^0.5/10+((E11*F11)*G11^0.4/1000))*K11*100</f>
        <v>19.349418595916518</v>
      </c>
      <c r="I11">
        <f t="shared" si="0"/>
        <v>38698.837191833038</v>
      </c>
      <c r="J11">
        <v>1938</v>
      </c>
      <c r="K11">
        <v>1</v>
      </c>
    </row>
    <row r="12" spans="1:11">
      <c r="A12" t="s">
        <v>51</v>
      </c>
      <c r="B12">
        <v>150</v>
      </c>
      <c r="C12">
        <v>0.4</v>
      </c>
      <c r="D12">
        <f>B12*C12</f>
        <v>60</v>
      </c>
      <c r="G12">
        <v>75</v>
      </c>
      <c r="H12">
        <f>0.004*(D12*G12^0.5/10+((E12*F12)*G12^0.4/1000))*K12*100</f>
        <v>18.706148721743876</v>
      </c>
      <c r="I12">
        <f>(800*D12*(G12^0.5))/10+E12*F12*G12/20</f>
        <v>41569.219381653056</v>
      </c>
      <c r="J12">
        <v>1953</v>
      </c>
      <c r="K12">
        <v>0.9</v>
      </c>
    </row>
    <row r="13" spans="1:11">
      <c r="A13" t="s">
        <v>95</v>
      </c>
      <c r="B13">
        <v>300</v>
      </c>
      <c r="C13">
        <v>0.4</v>
      </c>
      <c r="D13">
        <f>B13*C13</f>
        <v>120</v>
      </c>
      <c r="G13">
        <v>85</v>
      </c>
      <c r="H13">
        <f>0.004*(D13*G13^0.5/10+((E13*F13)*G13^0.4/1000))*K13*100</f>
        <v>37.615741385754973</v>
      </c>
      <c r="I13">
        <f>(800*D13*(G13^0.5))/10+E13*F13*G13/20</f>
        <v>88507.626790011724</v>
      </c>
      <c r="J13">
        <v>1970</v>
      </c>
      <c r="K13">
        <v>0.85</v>
      </c>
    </row>
    <row r="16" spans="1:11">
      <c r="A16" t="s">
        <v>68</v>
      </c>
      <c r="B16" t="s">
        <v>82</v>
      </c>
    </row>
    <row r="17" spans="1:11">
      <c r="A17" t="s">
        <v>44</v>
      </c>
      <c r="B17">
        <v>14</v>
      </c>
      <c r="C17">
        <v>3</v>
      </c>
      <c r="D17">
        <f t="shared" ref="D17:D22" si="1">B17*C17</f>
        <v>42</v>
      </c>
      <c r="G17">
        <v>75</v>
      </c>
      <c r="H17">
        <f t="shared" ref="H17:H22" si="2">0.004*(D17*G17^0.5/10+((E17*F17)*G17^0.4/1000))*K17*100</f>
        <v>12.366842766041785</v>
      </c>
      <c r="I17">
        <f t="shared" si="0"/>
        <v>29098.453567157139</v>
      </c>
      <c r="K17">
        <v>0.85</v>
      </c>
    </row>
    <row r="18" spans="1:11">
      <c r="A18" t="s">
        <v>48</v>
      </c>
      <c r="B18">
        <v>14</v>
      </c>
      <c r="C18">
        <v>3</v>
      </c>
      <c r="D18">
        <f t="shared" si="1"/>
        <v>42</v>
      </c>
      <c r="G18">
        <v>75</v>
      </c>
      <c r="H18">
        <f t="shared" si="2"/>
        <v>11.639381426862856</v>
      </c>
      <c r="I18">
        <f t="shared" si="0"/>
        <v>29098.453567157139</v>
      </c>
      <c r="K18">
        <v>0.8</v>
      </c>
    </row>
    <row r="19" spans="1:11">
      <c r="A19" t="s">
        <v>49</v>
      </c>
      <c r="B19">
        <v>14</v>
      </c>
      <c r="C19">
        <v>3</v>
      </c>
      <c r="D19">
        <f t="shared" si="1"/>
        <v>42</v>
      </c>
      <c r="G19">
        <v>75</v>
      </c>
      <c r="H19">
        <f t="shared" si="2"/>
        <v>10.911920087683926</v>
      </c>
      <c r="I19">
        <f t="shared" si="0"/>
        <v>29098.453567157139</v>
      </c>
      <c r="K19">
        <v>0.75</v>
      </c>
    </row>
    <row r="20" spans="1:11">
      <c r="A20" t="s">
        <v>52</v>
      </c>
      <c r="B20">
        <v>24</v>
      </c>
      <c r="C20">
        <v>3</v>
      </c>
      <c r="D20">
        <f t="shared" si="1"/>
        <v>72</v>
      </c>
      <c r="G20">
        <v>85</v>
      </c>
      <c r="H20">
        <f t="shared" si="2"/>
        <v>22.569444831452987</v>
      </c>
      <c r="I20">
        <f>(800*D20*(G20^0.5))/10+E20*F20*G20/20</f>
        <v>53104.576074007025</v>
      </c>
      <c r="K20">
        <v>0.85</v>
      </c>
    </row>
    <row r="21" spans="1:11">
      <c r="A21" t="s">
        <v>96</v>
      </c>
      <c r="B21">
        <v>24</v>
      </c>
      <c r="C21">
        <v>3</v>
      </c>
      <c r="D21">
        <f t="shared" si="1"/>
        <v>72</v>
      </c>
      <c r="G21">
        <v>100</v>
      </c>
      <c r="H21">
        <f t="shared" si="2"/>
        <v>31.680000000000007</v>
      </c>
      <c r="I21">
        <f>(800*D21*(G21^0.5))/10+E21*F21*G21/20</f>
        <v>57600</v>
      </c>
      <c r="J21">
        <v>1966</v>
      </c>
      <c r="K21">
        <v>1.1000000000000001</v>
      </c>
    </row>
    <row r="22" spans="1:11">
      <c r="A22" t="s">
        <v>97</v>
      </c>
      <c r="B22">
        <v>24</v>
      </c>
      <c r="C22">
        <v>3</v>
      </c>
      <c r="D22">
        <f t="shared" si="1"/>
        <v>72</v>
      </c>
      <c r="G22">
        <v>95</v>
      </c>
      <c r="H22">
        <f t="shared" si="2"/>
        <v>26.667229327397322</v>
      </c>
      <c r="I22">
        <f>(800*D22*(G22^0.5))/10+E22*F22*G22/20</f>
        <v>56141.535426099632</v>
      </c>
      <c r="J22">
        <v>1977</v>
      </c>
      <c r="K22">
        <v>0.95</v>
      </c>
    </row>
    <row r="26" spans="1:11">
      <c r="A26" t="s">
        <v>77</v>
      </c>
      <c r="B26" t="s">
        <v>82</v>
      </c>
    </row>
    <row r="27" spans="1:11">
      <c r="A27" t="s">
        <v>83</v>
      </c>
      <c r="B27">
        <v>10</v>
      </c>
      <c r="C27">
        <v>2.5</v>
      </c>
      <c r="D27">
        <f>B27*C27</f>
        <v>25</v>
      </c>
      <c r="G27">
        <v>65</v>
      </c>
      <c r="H27">
        <f>0.004*(D27*G27^0.5/10+((E27*F27)*G27^0.4/1000))*K27*100</f>
        <v>9.6747092979582607</v>
      </c>
      <c r="I27">
        <f>(800*D27*(G27^0.5))/10+E27*F27*G27/20</f>
        <v>16124.515496597098</v>
      </c>
      <c r="J27">
        <v>1907</v>
      </c>
      <c r="K27">
        <v>1.2</v>
      </c>
    </row>
    <row r="31" spans="1:11">
      <c r="A31" t="s">
        <v>78</v>
      </c>
      <c r="B31" t="s">
        <v>82</v>
      </c>
    </row>
    <row r="32" spans="1:11">
      <c r="A32" t="s">
        <v>79</v>
      </c>
      <c r="B32">
        <v>35</v>
      </c>
      <c r="C32">
        <v>2</v>
      </c>
      <c r="D32">
        <f>B32*C32</f>
        <v>70</v>
      </c>
      <c r="G32">
        <v>85</v>
      </c>
      <c r="H32">
        <f>0.004*(D32*G32^0.5/10+((E32*F32)*G32^0.4/1000))*K32*100</f>
        <v>27.105460704441086</v>
      </c>
      <c r="I32">
        <f>(800*D32*(G32^0.5))/10+E32*F32*G32/20</f>
        <v>51629.448960840164</v>
      </c>
      <c r="J32">
        <v>1929</v>
      </c>
      <c r="K32">
        <v>1.05</v>
      </c>
    </row>
    <row r="33" spans="1:11">
      <c r="A33" t="s">
        <v>80</v>
      </c>
      <c r="B33">
        <v>35</v>
      </c>
      <c r="C33">
        <v>2</v>
      </c>
      <c r="D33">
        <f>B33*C33</f>
        <v>70</v>
      </c>
      <c r="G33">
        <v>95</v>
      </c>
      <c r="H33">
        <f>0.004*(D33*G33^0.5/10+((E33*F33)*G33^0.4/1000))*K33*100</f>
        <v>28.655575373738358</v>
      </c>
      <c r="I33">
        <f>(800*D33*(G33^0.5))/10+E33*F33*G33/20</f>
        <v>54582.048330930193</v>
      </c>
      <c r="J33">
        <v>1934</v>
      </c>
      <c r="K33">
        <v>1.05</v>
      </c>
    </row>
    <row r="34" spans="1:11">
      <c r="A34" t="s">
        <v>81</v>
      </c>
      <c r="B34">
        <v>20</v>
      </c>
      <c r="C34">
        <v>2</v>
      </c>
      <c r="D34">
        <f>B34*C34</f>
        <v>40</v>
      </c>
      <c r="G34">
        <v>65</v>
      </c>
      <c r="H34">
        <f>0.004*(D34*G34^0.5/10+((E34*F34)*G34^0.4/1000))*K34*100</f>
        <v>12.899612397277679</v>
      </c>
      <c r="I34">
        <f>(800*D34*(G34^0.5))/10+E34*F34*G34/20</f>
        <v>25799.224794555357</v>
      </c>
      <c r="J34">
        <v>1946</v>
      </c>
      <c r="K34">
        <v>1</v>
      </c>
    </row>
    <row r="36" spans="1:11">
      <c r="A36" t="s">
        <v>85</v>
      </c>
      <c r="B36" t="s">
        <v>84</v>
      </c>
    </row>
    <row r="37" spans="1:11">
      <c r="A37" t="s">
        <v>87</v>
      </c>
      <c r="B37">
        <v>120</v>
      </c>
      <c r="C37">
        <v>0.5</v>
      </c>
      <c r="D37">
        <f>B37*C37</f>
        <v>60</v>
      </c>
      <c r="G37">
        <v>65</v>
      </c>
      <c r="H37">
        <f>0.004*(D37*G37^0.5/10+((E37*F37)*G37^0.4/1000))*K37*100</f>
        <v>20.316889525712345</v>
      </c>
      <c r="I37">
        <f>(800*D37*(G37^0.5))/10+E37*F37*G37/20</f>
        <v>38698.837191833038</v>
      </c>
      <c r="J37">
        <v>1927</v>
      </c>
      <c r="K37">
        <v>1.05</v>
      </c>
    </row>
    <row r="38" spans="1:11">
      <c r="A38" t="s">
        <v>105</v>
      </c>
      <c r="B38">
        <v>150</v>
      </c>
      <c r="C38">
        <v>0.5</v>
      </c>
      <c r="D38">
        <f>B38*C38</f>
        <v>75</v>
      </c>
      <c r="G38">
        <v>75</v>
      </c>
      <c r="H38">
        <f>0.004*(D38*G38^0.5/10+((E38*F38)*G38^0.4/1000))*K38*100</f>
        <v>22.083647796503186</v>
      </c>
      <c r="I38">
        <f>(800*D38*(G38^0.5))/10+E38*F38*G38/20</f>
        <v>51961.524227066329</v>
      </c>
      <c r="J38">
        <v>1967</v>
      </c>
      <c r="K38">
        <v>0.85</v>
      </c>
    </row>
    <row r="41" spans="1:11">
      <c r="A41" t="s">
        <v>86</v>
      </c>
      <c r="B41" t="s">
        <v>82</v>
      </c>
    </row>
    <row r="42" spans="1:11">
      <c r="A42" t="s">
        <v>88</v>
      </c>
      <c r="B42">
        <v>12</v>
      </c>
      <c r="C42">
        <v>5</v>
      </c>
      <c r="D42">
        <f>B42*C42</f>
        <v>60</v>
      </c>
      <c r="G42">
        <v>65</v>
      </c>
      <c r="H42">
        <f>0.004*(D42*G42^0.5/10+((E42*F42)*G42^0.4/1000))*K42*100</f>
        <v>19.349418595916518</v>
      </c>
      <c r="I42">
        <f>(800*D42*(G42^0.5))/10+E42*F42*G42/20</f>
        <v>38698.837191833038</v>
      </c>
      <c r="J42">
        <v>1936</v>
      </c>
      <c r="K42">
        <v>1</v>
      </c>
    </row>
    <row r="43" spans="1:11">
      <c r="A43" t="s">
        <v>89</v>
      </c>
      <c r="B43">
        <v>15</v>
      </c>
      <c r="C43">
        <v>5</v>
      </c>
      <c r="D43">
        <f>B43*C43</f>
        <v>75</v>
      </c>
      <c r="G43">
        <v>75</v>
      </c>
      <c r="H43">
        <f>0.004*(D43*G43^0.5/10+((E43*F43)*G43^0.4/1000))*K43*100</f>
        <v>22.083647796503186</v>
      </c>
      <c r="I43">
        <f>(800*D43*(G43^0.5))/10+E43*F43*G43/20</f>
        <v>51961.524227066329</v>
      </c>
      <c r="J43">
        <v>1964</v>
      </c>
      <c r="K43">
        <v>0.85</v>
      </c>
    </row>
    <row r="44" spans="1:11">
      <c r="A44" t="s">
        <v>90</v>
      </c>
      <c r="B44">
        <v>24</v>
      </c>
      <c r="C44">
        <v>5</v>
      </c>
      <c r="D44">
        <f>B44*C44</f>
        <v>120</v>
      </c>
      <c r="G44">
        <v>85</v>
      </c>
      <c r="H44">
        <f>0.004*(D44*G44^0.5/10+((E44*F44)*G44^0.4/1000))*K44*100</f>
        <v>37.615741385754973</v>
      </c>
      <c r="I44">
        <f>(800*D44*(G44^0.5))/10+E44*F44*G44/20</f>
        <v>88507.626790011724</v>
      </c>
      <c r="J44">
        <v>1968</v>
      </c>
      <c r="K44">
        <v>0.85</v>
      </c>
    </row>
    <row r="45" spans="1:11">
      <c r="A45" t="s">
        <v>91</v>
      </c>
      <c r="B45">
        <v>24</v>
      </c>
      <c r="C45">
        <v>5</v>
      </c>
      <c r="D45">
        <f>B45*C45</f>
        <v>120</v>
      </c>
      <c r="G45">
        <v>100</v>
      </c>
      <c r="H45">
        <f>0.004*(D45*G45^0.5/10+((E45*F45)*G45^0.4/1000))*K45*100</f>
        <v>52.800000000000004</v>
      </c>
      <c r="I45">
        <f>(800*D45*(G45^0.5))/10+E45*F45*G45/20</f>
        <v>96000</v>
      </c>
      <c r="J45">
        <v>1966</v>
      </c>
      <c r="K45">
        <v>1.1000000000000001</v>
      </c>
    </row>
    <row r="48" spans="1:11">
      <c r="A48" t="s">
        <v>92</v>
      </c>
      <c r="B48" t="s">
        <v>82</v>
      </c>
    </row>
    <row r="49" spans="1:11">
      <c r="A49" t="s">
        <v>98</v>
      </c>
      <c r="B49">
        <v>20</v>
      </c>
      <c r="C49">
        <v>2.8</v>
      </c>
      <c r="D49">
        <f>B49*C49</f>
        <v>56</v>
      </c>
      <c r="G49">
        <v>85</v>
      </c>
      <c r="H49">
        <f>0.004*(D49*G49^0.5/10+((E49*F49)*G49^0.4/1000))*K49*100</f>
        <v>21.684368563552873</v>
      </c>
      <c r="I49">
        <f>(800*D49*(G49^0.5))/10+E49*F49*G49/20</f>
        <v>41303.559168672138</v>
      </c>
      <c r="J49">
        <v>1929</v>
      </c>
      <c r="K49">
        <v>1.05</v>
      </c>
    </row>
    <row r="50" spans="1:11">
      <c r="A50" t="s">
        <v>99</v>
      </c>
      <c r="B50">
        <v>30</v>
      </c>
      <c r="C50">
        <v>2.8</v>
      </c>
      <c r="D50">
        <f>B50*C50</f>
        <v>84</v>
      </c>
      <c r="G50">
        <v>85</v>
      </c>
      <c r="H50">
        <f>0.004*(D50*G50^0.5/10+((E50*F50)*G50^0.4/1000))*K50*100</f>
        <v>26.331018970028484</v>
      </c>
      <c r="I50">
        <f>(800*D50*(G50^0.5))/10+E50*F50*G50/20</f>
        <v>61955.338753008204</v>
      </c>
      <c r="J50">
        <v>1966</v>
      </c>
      <c r="K50">
        <v>0.85</v>
      </c>
    </row>
    <row r="55" spans="1:11">
      <c r="A55" t="s">
        <v>93</v>
      </c>
      <c r="B55" t="s">
        <v>82</v>
      </c>
    </row>
    <row r="56" spans="1:11">
      <c r="A56" t="s">
        <v>72</v>
      </c>
      <c r="B56">
        <v>8</v>
      </c>
      <c r="C56">
        <v>3</v>
      </c>
      <c r="D56">
        <f>B56*C56</f>
        <v>24</v>
      </c>
      <c r="G56">
        <v>65</v>
      </c>
      <c r="H56">
        <f>0.004*(D56*G56^0.5/10+((E56*F56)*G56^0.4/1000))*K56*100</f>
        <v>7.3527790664482771</v>
      </c>
      <c r="I56">
        <f>(800*D56*(G56^0.5))/10+E56*F56*G56/20</f>
        <v>15479.534876733214</v>
      </c>
      <c r="J56">
        <v>1941</v>
      </c>
      <c r="K56">
        <v>0.95</v>
      </c>
    </row>
    <row r="57" spans="1:11">
      <c r="A57" t="s">
        <v>100</v>
      </c>
      <c r="B57">
        <v>12</v>
      </c>
      <c r="C57">
        <v>3</v>
      </c>
      <c r="D57">
        <f>B57*C57</f>
        <v>36</v>
      </c>
      <c r="G57">
        <v>75</v>
      </c>
      <c r="H57">
        <f>0.004*(D57*G57^0.5/10+((E57*F57)*G57^0.4/1000))*K57*100</f>
        <v>11.223689233046326</v>
      </c>
      <c r="I57">
        <f>(800*D57*(G57^0.5))/10+E57*F57*G57/20</f>
        <v>24941.531628991834</v>
      </c>
      <c r="J57">
        <v>1964</v>
      </c>
      <c r="K57">
        <v>0.9</v>
      </c>
    </row>
    <row r="58" spans="1:11">
      <c r="A58" t="s">
        <v>101</v>
      </c>
      <c r="B58">
        <v>15</v>
      </c>
      <c r="C58">
        <v>3</v>
      </c>
      <c r="D58">
        <f>B58*C58</f>
        <v>45</v>
      </c>
      <c r="G58">
        <v>75</v>
      </c>
      <c r="H58">
        <f>0.004*(D58*G58^0.5/10+((E58*F58)*G58^0.4/1000))*K58*100</f>
        <v>13.250188677901912</v>
      </c>
      <c r="I58">
        <f>(800*D58*(G58^0.5))/10+E58*F58*G58/20</f>
        <v>31176.914536239794</v>
      </c>
      <c r="J58">
        <v>1998</v>
      </c>
      <c r="K58">
        <v>0.85</v>
      </c>
    </row>
    <row r="63" spans="1:11">
      <c r="A63" t="s">
        <v>94</v>
      </c>
    </row>
    <row r="64" spans="1:11">
      <c r="A64" t="s">
        <v>106</v>
      </c>
      <c r="B64">
        <v>14</v>
      </c>
      <c r="C64">
        <v>4</v>
      </c>
      <c r="D64">
        <f>B64*C64</f>
        <v>56</v>
      </c>
      <c r="G64">
        <v>65</v>
      </c>
      <c r="H64">
        <f>0.004*(D64*G64^0.5/10+((E64*F64)*G64^0.4/1000))*K64*100</f>
        <v>18.059457356188751</v>
      </c>
      <c r="I64">
        <f>(800*D64*(G64^0.5))/10+E64*F64*G64/20</f>
        <v>36118.914712377496</v>
      </c>
      <c r="J64">
        <v>1935</v>
      </c>
      <c r="K64">
        <v>1</v>
      </c>
    </row>
    <row r="73" spans="1:11">
      <c r="A73" t="s">
        <v>70</v>
      </c>
    </row>
    <row r="74" spans="1:11">
      <c r="A74" t="s">
        <v>53</v>
      </c>
      <c r="B74">
        <v>20</v>
      </c>
      <c r="C74">
        <v>2.5</v>
      </c>
      <c r="D74">
        <f>B74*C74</f>
        <v>50</v>
      </c>
      <c r="G74">
        <v>110</v>
      </c>
      <c r="H74">
        <f>0.004*(D74*G74^0.5/10+((E74*F74)*G74^0.4/1000))*75</f>
        <v>15.732132722552274</v>
      </c>
      <c r="I74">
        <f>(800*D74*(G74^0.5))/10+E74*F74*G74/20</f>
        <v>41952.353926806063</v>
      </c>
      <c r="K74">
        <v>0.75</v>
      </c>
    </row>
    <row r="75" spans="1:11">
      <c r="A75" t="s">
        <v>56</v>
      </c>
      <c r="B75">
        <v>25</v>
      </c>
      <c r="C75">
        <v>2.5</v>
      </c>
      <c r="D75">
        <f>B75*C75</f>
        <v>62.5</v>
      </c>
      <c r="G75">
        <v>110</v>
      </c>
      <c r="H75">
        <f>0.004*(D75*G75^0.5/10+((E75*F75)*G75^0.4/1000))*75</f>
        <v>19.665165903190342</v>
      </c>
      <c r="I75">
        <f>(800*D75*(G75^0.5))/10+E75*F75*G75/20</f>
        <v>52440.442408507573</v>
      </c>
      <c r="K75">
        <v>0.75</v>
      </c>
    </row>
  </sheetData>
  <phoneticPr fontId="1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F3D9-4747-4463-81AD-13C44D461706}">
  <dimension ref="A1:I28"/>
  <sheetViews>
    <sheetView workbookViewId="0">
      <selection activeCell="G28" sqref="G28"/>
    </sheetView>
  </sheetViews>
  <sheetFormatPr defaultRowHeight="13.5"/>
  <sheetData>
    <row r="1" spans="1:9">
      <c r="A1" t="s">
        <v>1</v>
      </c>
      <c r="B1" t="s">
        <v>0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9">
      <c r="A2" t="s">
        <v>67</v>
      </c>
      <c r="B2">
        <v>0</v>
      </c>
      <c r="C2">
        <v>900</v>
      </c>
      <c r="D2">
        <v>144</v>
      </c>
      <c r="E2">
        <v>65</v>
      </c>
      <c r="F2">
        <f>0.004*(B2*E2^0.5/10+((C2*D2)*E2^0.4/1000))</f>
        <v>2.7531529274886282</v>
      </c>
      <c r="G2">
        <f t="shared" ref="G2:G7" si="0">(800*B2*(E2^0.5))/10+(C2*D2*E2^0.7)/20</f>
        <v>120396.6368435083</v>
      </c>
      <c r="I2">
        <v>100</v>
      </c>
    </row>
    <row r="3" spans="1:9">
      <c r="A3" t="s">
        <v>27</v>
      </c>
      <c r="B3">
        <v>0</v>
      </c>
      <c r="C3">
        <v>1350</v>
      </c>
      <c r="D3">
        <v>144</v>
      </c>
      <c r="E3">
        <v>75</v>
      </c>
      <c r="F3">
        <f>0.004*(B3*E3^0.5/10+((C3*D3)*E3^0.4/1000))</f>
        <v>4.373012887896464</v>
      </c>
      <c r="G3">
        <f t="shared" si="0"/>
        <v>199622.3432909165</v>
      </c>
      <c r="I3">
        <v>100</v>
      </c>
    </row>
    <row r="4" spans="1:9">
      <c r="A4" t="s">
        <v>58</v>
      </c>
      <c r="B4">
        <v>0</v>
      </c>
      <c r="C4">
        <v>1600</v>
      </c>
      <c r="D4">
        <v>144</v>
      </c>
      <c r="E4">
        <v>75</v>
      </c>
      <c r="F4">
        <f>0.004*(B4*E4^0.5/10+((C4*D4)*E4^0.4/1000))*95</f>
        <v>492.36885848908332</v>
      </c>
      <c r="G4">
        <f t="shared" si="0"/>
        <v>236589.4439003455</v>
      </c>
      <c r="I4">
        <v>95</v>
      </c>
    </row>
    <row r="5" spans="1:9">
      <c r="A5" t="s">
        <v>65</v>
      </c>
      <c r="B5">
        <v>0</v>
      </c>
      <c r="C5">
        <v>1900</v>
      </c>
      <c r="D5">
        <v>144</v>
      </c>
      <c r="E5">
        <v>75</v>
      </c>
      <c r="F5">
        <f>0.004*(B5*E5^0.5/10+((C5*D5)*E5^0.4/1000))*90</f>
        <v>553.91496580021874</v>
      </c>
      <c r="G5">
        <f t="shared" si="0"/>
        <v>280949.96463166026</v>
      </c>
      <c r="I5">
        <v>90</v>
      </c>
    </row>
    <row r="6" spans="1:9">
      <c r="A6" t="s">
        <v>32</v>
      </c>
      <c r="B6">
        <v>0</v>
      </c>
      <c r="C6">
        <v>1350</v>
      </c>
      <c r="D6">
        <v>144</v>
      </c>
      <c r="E6">
        <v>95</v>
      </c>
      <c r="F6">
        <f>0.004*(B6*E6^0.5/10+((C6*D6)*E6^0.4/1000))</f>
        <v>4.8066853531753813</v>
      </c>
      <c r="G6">
        <f t="shared" si="0"/>
        <v>235544.40279706666</v>
      </c>
      <c r="I6">
        <v>100</v>
      </c>
    </row>
    <row r="7" spans="1:9">
      <c r="A7" t="s">
        <v>31</v>
      </c>
      <c r="B7">
        <v>0</v>
      </c>
      <c r="C7">
        <v>1350</v>
      </c>
      <c r="D7">
        <v>144</v>
      </c>
      <c r="E7">
        <v>95</v>
      </c>
      <c r="F7">
        <f>0.004*(B7*E7^0.5/10+((C7*D7)*E7^0.4/1000))*0.95</f>
        <v>4.5663510855166116</v>
      </c>
      <c r="G7">
        <f t="shared" si="0"/>
        <v>235544.40279706666</v>
      </c>
      <c r="I7">
        <v>95</v>
      </c>
    </row>
    <row r="9" spans="1:9">
      <c r="A9" t="s">
        <v>20</v>
      </c>
      <c r="B9">
        <v>0</v>
      </c>
      <c r="C9">
        <v>1900</v>
      </c>
      <c r="D9">
        <v>144</v>
      </c>
      <c r="E9">
        <v>100</v>
      </c>
      <c r="F9">
        <f>0.004*(B9*E9^0.5/10+((C9*D9)*E9^0.4/1000))*0.95</f>
        <v>6.5599373190916745</v>
      </c>
      <c r="G9">
        <f t="shared" ref="G9:G15" si="1">(800*B9*(E9^0.5))/10+(C9*D9*E9^0.7)/20</f>
        <v>343626.06383051054</v>
      </c>
      <c r="I9">
        <v>95</v>
      </c>
    </row>
    <row r="10" spans="1:9">
      <c r="A10" t="s">
        <v>21</v>
      </c>
      <c r="B10">
        <v>0</v>
      </c>
      <c r="C10">
        <v>1950</v>
      </c>
      <c r="D10">
        <v>144</v>
      </c>
      <c r="E10">
        <v>100</v>
      </c>
      <c r="F10">
        <f>0.004*(B10*E10^0.5/10+((C10*D10)*E10^0.4/1000))*0.85</f>
        <v>6.0238759592213027</v>
      </c>
      <c r="G10">
        <f t="shared" si="1"/>
        <v>352668.85498394503</v>
      </c>
      <c r="I10">
        <v>85</v>
      </c>
    </row>
    <row r="11" spans="1:9">
      <c r="A11" t="s">
        <v>57</v>
      </c>
      <c r="B11">
        <v>0</v>
      </c>
      <c r="C11">
        <v>2550</v>
      </c>
      <c r="D11">
        <v>144</v>
      </c>
      <c r="E11">
        <v>100</v>
      </c>
      <c r="F11">
        <f>0.004*(B11*E11^0.5/10+((C11*D11)*E11^0.4/1000))*0.85</f>
        <v>7.8773762543663191</v>
      </c>
      <c r="G11">
        <f t="shared" si="1"/>
        <v>461182.34882515884</v>
      </c>
      <c r="I11">
        <v>85</v>
      </c>
    </row>
    <row r="12" spans="1:9">
      <c r="A12" t="s">
        <v>22</v>
      </c>
      <c r="B12">
        <v>0</v>
      </c>
      <c r="C12">
        <v>3900</v>
      </c>
      <c r="D12">
        <v>166</v>
      </c>
      <c r="E12">
        <v>110</v>
      </c>
      <c r="F12">
        <f>0.004*(B12*E12^0.5/10+((C12*D12)*E12^0.4/1000))*0.8</f>
        <v>13.579373928930721</v>
      </c>
      <c r="G12">
        <f t="shared" si="1"/>
        <v>869195.71973124635</v>
      </c>
      <c r="I12">
        <v>80</v>
      </c>
    </row>
    <row r="13" spans="1:9">
      <c r="A13" t="s">
        <v>39</v>
      </c>
      <c r="B13">
        <v>0</v>
      </c>
      <c r="C13">
        <v>3900</v>
      </c>
      <c r="D13">
        <v>166</v>
      </c>
      <c r="E13">
        <v>110</v>
      </c>
      <c r="F13">
        <f>0.004*(B13*E13^0.5/10+((C13*D13)*E13^0.4/1000))*0.75</f>
        <v>12.730663058372551</v>
      </c>
      <c r="G13">
        <f t="shared" si="1"/>
        <v>869195.71973124635</v>
      </c>
      <c r="I13">
        <v>75</v>
      </c>
    </row>
    <row r="14" spans="1:9">
      <c r="A14" t="s">
        <v>66</v>
      </c>
      <c r="B14">
        <v>0</v>
      </c>
      <c r="C14">
        <v>2700</v>
      </c>
      <c r="D14">
        <v>150</v>
      </c>
      <c r="E14">
        <v>100</v>
      </c>
      <c r="F14">
        <f>0.004*(B14*E14^0.5/10+((C14*D14)*E14^0.4/1000))*0.85</f>
        <v>8.688282633492264</v>
      </c>
      <c r="G14">
        <f>(800*B14*(E14^0.5))/10+(C14*D14*E14^0.7)/20</f>
        <v>508657.0023806899</v>
      </c>
      <c r="I14">
        <v>85</v>
      </c>
    </row>
    <row r="15" spans="1:9">
      <c r="A15" t="s">
        <v>61</v>
      </c>
      <c r="B15">
        <v>0</v>
      </c>
      <c r="C15">
        <v>1900</v>
      </c>
      <c r="D15">
        <v>150</v>
      </c>
      <c r="E15">
        <v>100</v>
      </c>
      <c r="F15">
        <f>0.004*(B15*E15^0.5/10+((C15*D15)*E15^0.4/1000))*0.85</f>
        <v>6.1139766680130743</v>
      </c>
      <c r="G15">
        <f t="shared" si="1"/>
        <v>357943.81649011513</v>
      </c>
      <c r="I15">
        <v>85</v>
      </c>
    </row>
    <row r="17" spans="1:9">
      <c r="A17" t="s">
        <v>40</v>
      </c>
      <c r="B17">
        <v>0</v>
      </c>
      <c r="C17">
        <v>1250</v>
      </c>
      <c r="D17">
        <v>130</v>
      </c>
      <c r="E17">
        <v>85</v>
      </c>
      <c r="F17">
        <f>0.004*(B17*E17^0.5/10+(2*(C17*D17)*E17^0.4/1000))*I17/100</f>
        <v>6.1489492634457052</v>
      </c>
      <c r="G17">
        <f>(800*B17*(E17^0.5))/10+(2*C17*D17*E17^0.7)/20</f>
        <v>364289.46616440837</v>
      </c>
      <c r="I17">
        <v>80</v>
      </c>
    </row>
    <row r="18" spans="1:9">
      <c r="A18" t="s">
        <v>64</v>
      </c>
      <c r="B18">
        <v>0</v>
      </c>
      <c r="C18">
        <v>750</v>
      </c>
      <c r="D18">
        <v>130</v>
      </c>
      <c r="E18">
        <v>70</v>
      </c>
      <c r="F18">
        <f>0.004*(B18*E18^0.5/10+(2*(C18*D18)*E18^0.4/1000))*I18/100</f>
        <v>3.6270433346491218</v>
      </c>
      <c r="G18">
        <f>(800*B18*(E18^0.5))/10+(2*C18*D18*E18^0.7)/20</f>
        <v>190797.74770136087</v>
      </c>
      <c r="I18">
        <v>85</v>
      </c>
    </row>
    <row r="19" spans="1:9">
      <c r="A19" t="s">
        <v>37</v>
      </c>
      <c r="B19">
        <v>0</v>
      </c>
      <c r="C19">
        <v>1500</v>
      </c>
      <c r="D19">
        <v>130</v>
      </c>
      <c r="E19">
        <v>95</v>
      </c>
      <c r="F19">
        <f>0.004*(B19*E19^0.5/10+(2*(C19*D19)*E19^0.4/1000))*I19/100</f>
        <v>8.196585363053698</v>
      </c>
      <c r="G19">
        <f>(800*B19*(E19^0.5))/10+(2*C19*D19*E19^0.7)/20</f>
        <v>472542.78338917688</v>
      </c>
      <c r="I19">
        <v>85</v>
      </c>
    </row>
    <row r="20" spans="1:9">
      <c r="A20" t="s">
        <v>38</v>
      </c>
      <c r="B20">
        <v>0</v>
      </c>
      <c r="C20">
        <v>1650</v>
      </c>
      <c r="D20">
        <v>130</v>
      </c>
      <c r="E20">
        <v>95</v>
      </c>
      <c r="F20">
        <f>0.004*(B20*E20^0.5/10+(2*(C20*D20)*E20^0.4/1000))*I20/100</f>
        <v>8.4858766111614745</v>
      </c>
      <c r="G20">
        <f>(800*B20*(E20^0.5))/10+(2*C20*D20*E20^0.7)/20</f>
        <v>519797.06172809459</v>
      </c>
      <c r="I20">
        <v>80</v>
      </c>
    </row>
    <row r="27" spans="1:9">
      <c r="A27" t="s">
        <v>41</v>
      </c>
      <c r="B27">
        <v>0</v>
      </c>
      <c r="C27">
        <v>1035</v>
      </c>
      <c r="D27">
        <v>130</v>
      </c>
      <c r="E27">
        <v>110</v>
      </c>
      <c r="F27">
        <f>0.004*(B27*E27^0.5/10+(2*(C27*D27)*E27^0.4/1000))*I27/100</f>
        <v>6.7027707909744638</v>
      </c>
      <c r="G27">
        <f>(800*B27*(E27^0.5))/10+(2*C27*D27*E27^0.7)/20</f>
        <v>361292.19675575907</v>
      </c>
      <c r="I27">
        <v>95</v>
      </c>
    </row>
    <row r="28" spans="1:9">
      <c r="A28" t="s">
        <v>63</v>
      </c>
      <c r="B28">
        <v>0</v>
      </c>
      <c r="C28">
        <v>960</v>
      </c>
      <c r="D28">
        <v>130</v>
      </c>
      <c r="E28">
        <v>75</v>
      </c>
      <c r="F28">
        <f>0.004*(B28*E28^0.5/10+(2*(C28*D28)*E28^0.4/1000))*I28/100</f>
        <v>5.3339959669650705</v>
      </c>
      <c r="G28">
        <f>(800*B28*(E28^0.5))/10+(2*C28*D28*E28^0.7)/20</f>
        <v>256305.23089204094</v>
      </c>
      <c r="I28">
        <v>95</v>
      </c>
    </row>
  </sheetData>
  <phoneticPr fontId="1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95B3-2577-41A4-B77F-0AFCA2C85C8D}">
  <dimension ref="A1:I5"/>
  <sheetViews>
    <sheetView workbookViewId="0">
      <selection activeCell="F3" sqref="F3"/>
    </sheetView>
  </sheetViews>
  <sheetFormatPr defaultRowHeight="13.5"/>
  <sheetData>
    <row r="1" spans="1:9">
      <c r="A1" t="s">
        <v>1</v>
      </c>
      <c r="B1" t="s">
        <v>0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9">
      <c r="A2" t="s">
        <v>11</v>
      </c>
      <c r="B2">
        <v>72</v>
      </c>
      <c r="C2">
        <v>220</v>
      </c>
      <c r="D2">
        <v>100</v>
      </c>
      <c r="E2">
        <v>75</v>
      </c>
      <c r="F2">
        <f>0.004*(B2*E2^0.5/10+((2*C2*D2)*E2^0.4/1000))*0.65</f>
        <v>0.80547473230572508</v>
      </c>
      <c r="G2">
        <f>(800*B2*(E2^0.5))/10+(2*C2*D2*E2^0.7)/20</f>
        <v>95065.075113952422</v>
      </c>
      <c r="I2">
        <v>65</v>
      </c>
    </row>
    <row r="3" spans="1:9">
      <c r="A3" t="s">
        <v>12</v>
      </c>
      <c r="B3">
        <v>80</v>
      </c>
      <c r="C3">
        <v>220</v>
      </c>
      <c r="D3">
        <v>100</v>
      </c>
      <c r="E3">
        <v>75</v>
      </c>
      <c r="F3">
        <f>0.004*(B3*E3^0.5/10+((2*C3*D3)*E3^0.4/1000))*0.65</f>
        <v>0.82348806070444136</v>
      </c>
      <c r="G3">
        <f>(800*B3*(E3^0.5))/10+(2*C3*D3*E3^0.7)/20</f>
        <v>100607.63769817282</v>
      </c>
    </row>
    <row r="4" spans="1:9">
      <c r="A4" t="s">
        <v>13</v>
      </c>
      <c r="B4">
        <v>72</v>
      </c>
      <c r="C4">
        <v>220</v>
      </c>
      <c r="D4">
        <v>100</v>
      </c>
      <c r="E4">
        <v>75</v>
      </c>
      <c r="F4">
        <f>0.004*(B4*E4^0.5/10+((2*C4*D4)*E4^0.4/1000))*0.65</f>
        <v>0.80547473230572508</v>
      </c>
      <c r="G4">
        <f>(800*B4*(E4^0.5))/10+(2*C4*D4*E4^0.7)/20</f>
        <v>95065.075113952422</v>
      </c>
    </row>
    <row r="5" spans="1:9">
      <c r="A5" t="s">
        <v>14</v>
      </c>
      <c r="F5">
        <f>F2+F3+F4</f>
        <v>2.4344375253158916</v>
      </c>
      <c r="G5">
        <f>G2+G3+G4</f>
        <v>290737.78792607767</v>
      </c>
    </row>
  </sheetData>
  <phoneticPr fontId="1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B056-140B-452C-9936-A4C2E2A00341}">
  <dimension ref="A1:G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.75"/>
  <cols>
    <col min="1" max="1" width="30" style="1" bestFit="1" customWidth="1"/>
    <col min="2" max="2" width="5.25" style="1" bestFit="1" customWidth="1"/>
    <col min="3" max="3" width="9" style="1"/>
    <col min="4" max="4" width="5.25" style="1" bestFit="1" customWidth="1"/>
    <col min="5" max="6" width="7.125" style="1" bestFit="1" customWidth="1"/>
    <col min="7" max="7" width="8.5" style="1" bestFit="1" customWidth="1"/>
    <col min="8" max="16384" width="9" style="1"/>
  </cols>
  <sheetData>
    <row r="1" spans="1:7">
      <c r="A1" s="1" t="s">
        <v>1</v>
      </c>
      <c r="B1" s="1" t="s">
        <v>0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127</v>
      </c>
      <c r="B2" s="1">
        <v>48</v>
      </c>
      <c r="C2" s="1">
        <v>60</v>
      </c>
      <c r="D2" s="1">
        <v>90</v>
      </c>
      <c r="E2" s="1">
        <v>50</v>
      </c>
      <c r="F2" s="1">
        <f>FIXED(0.008*(B2*C2^0.5/10+((4*D2*E2)*C2^0.4/1000)),2,TRUE)*100</f>
        <v>104</v>
      </c>
      <c r="G2" s="1">
        <f>FIXED((800*B2*(C2^0.5))/10+(2*D2*E2*C2^0.7)/20,0,TRUE)*100</f>
        <v>3765000</v>
      </c>
    </row>
    <row r="4" spans="1:7">
      <c r="A4" s="1" t="s">
        <v>144</v>
      </c>
      <c r="B4" s="1">
        <v>66</v>
      </c>
      <c r="C4" s="1">
        <v>70</v>
      </c>
      <c r="D4" s="1">
        <v>128</v>
      </c>
      <c r="E4" s="1">
        <v>71</v>
      </c>
      <c r="F4" s="1">
        <f>FIXED(0.008*(B4*C4^0.5/10+((4*D4*E4)*C4^0.4/1000)),2,TRUE)*100</f>
        <v>202.99999999999997</v>
      </c>
      <c r="G4" s="1">
        <f>FIXED((800*B4*(C4^0.5))/10+(2*D4*E4*C4^0.7)/20,0,TRUE)*100</f>
        <v>6196000</v>
      </c>
    </row>
    <row r="5" spans="1:7">
      <c r="A5" s="1" t="s">
        <v>145</v>
      </c>
      <c r="B5" s="1">
        <v>73</v>
      </c>
      <c r="C5" s="1">
        <v>70</v>
      </c>
      <c r="D5" s="1">
        <v>162</v>
      </c>
      <c r="E5" s="1">
        <v>71</v>
      </c>
      <c r="F5" s="1">
        <f>FIXED(0.008*(B5*C5^0.5/10+((4*D5*E5)*C5^0.4/1000)),2,TRUE)*100</f>
        <v>250</v>
      </c>
      <c r="G5" s="1">
        <f>FIXED((800*B5*(C5^0.5))/10+(2*D5*E5*C5^0.7)/20,0,TRUE)*100</f>
        <v>7136900</v>
      </c>
    </row>
    <row r="6" spans="1:7">
      <c r="A6" s="1" t="s">
        <v>146</v>
      </c>
      <c r="B6" s="1">
        <v>68</v>
      </c>
      <c r="C6" s="1">
        <v>80</v>
      </c>
      <c r="D6" s="1">
        <v>177</v>
      </c>
      <c r="E6" s="1">
        <v>71</v>
      </c>
      <c r="F6" s="1">
        <f>FIXED(0.008*(B6*C6^0.5/10+((4*D6*E6)*C6^0.4/1000)),2,TRUE)*100</f>
        <v>281</v>
      </c>
      <c r="G6" s="1">
        <f>FIXED((800*B6*(C6^0.5))/10+(2*D6*E6*C6^0.7)/20,0,TRUE)*100</f>
        <v>7565900</v>
      </c>
    </row>
    <row r="8" spans="1:7">
      <c r="A8" s="1" t="s">
        <v>149</v>
      </c>
      <c r="B8" s="1">
        <v>29</v>
      </c>
      <c r="C8" s="1">
        <v>110</v>
      </c>
      <c r="D8" s="1">
        <v>110</v>
      </c>
      <c r="E8" s="1">
        <v>71</v>
      </c>
      <c r="F8" s="1">
        <f>FIXED(0.008*(B8*C8^0.5/10+((4*D8*E8)*C8^0.4/1000)),2,TRUE)*100</f>
        <v>188</v>
      </c>
      <c r="G8" s="1">
        <f>FIXED((800*B8*(C8^0.5))/10+(2*D8*E8*C8^0.7)/20,0,TRUE)*100</f>
        <v>4530400</v>
      </c>
    </row>
    <row r="9" spans="1:7">
      <c r="A9" s="1" t="s">
        <v>148</v>
      </c>
      <c r="B9" s="1">
        <v>35</v>
      </c>
      <c r="C9" s="1">
        <v>80</v>
      </c>
      <c r="D9" s="1">
        <v>132</v>
      </c>
      <c r="E9" s="1">
        <v>71</v>
      </c>
      <c r="F9" s="1">
        <f>FIXED(0.008*(B9*C9^0.5/10+((4*D9*E9)*C9^0.4/1000)),2,TRUE)*100</f>
        <v>198</v>
      </c>
      <c r="G9" s="1">
        <f>FIXED((800*B9*(C9^0.5))/10+(2*D9*E9*C9^0.7)/20,0,TRUE)*100</f>
        <v>4518100</v>
      </c>
    </row>
    <row r="10" spans="1:7">
      <c r="A10" s="1" t="s">
        <v>147</v>
      </c>
      <c r="B10" s="1">
        <v>29</v>
      </c>
      <c r="C10" s="1">
        <v>80</v>
      </c>
      <c r="D10" s="1">
        <v>132</v>
      </c>
      <c r="E10" s="1">
        <v>71</v>
      </c>
      <c r="F10" s="1">
        <f>FIXED(0.008*(B10*C10^0.5/10+((4*D10*E10)*C10^0.4/1000)),2,TRUE)*100</f>
        <v>194</v>
      </c>
      <c r="G10" s="1">
        <f>FIXED((800*B10*(C10^0.5))/10+(2*D10*E10*C10^0.7)/20,0,TRUE)*100</f>
        <v>4088800</v>
      </c>
    </row>
  </sheetData>
  <phoneticPr fontId="1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6CCF-D15C-4557-AD15-2E9C0A1D114F}">
  <dimension ref="A1:L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.75"/>
  <cols>
    <col min="1" max="1" width="25.75" style="1" bestFit="1" customWidth="1"/>
    <col min="2" max="3" width="7.125" style="1" bestFit="1" customWidth="1"/>
    <col min="4" max="4" width="5.25" style="1" bestFit="1" customWidth="1"/>
    <col min="5" max="5" width="13" style="1" bestFit="1" customWidth="1"/>
    <col min="6" max="6" width="5.5" style="1" bestFit="1" customWidth="1"/>
    <col min="7" max="7" width="7.125" style="1" bestFit="1" customWidth="1"/>
    <col min="8" max="8" width="9" style="1"/>
    <col min="9" max="9" width="7.125" style="1" bestFit="1" customWidth="1"/>
    <col min="10" max="10" width="10.5" style="1" bestFit="1" customWidth="1"/>
    <col min="11" max="12" width="5.5" style="1" bestFit="1" customWidth="1"/>
    <col min="13" max="16384" width="9" style="1"/>
  </cols>
  <sheetData>
    <row r="1" spans="1:12">
      <c r="A1" s="1" t="s">
        <v>1</v>
      </c>
      <c r="B1" s="1" t="s">
        <v>54</v>
      </c>
      <c r="C1" s="1" t="s">
        <v>136</v>
      </c>
      <c r="D1" s="1" t="s">
        <v>55</v>
      </c>
      <c r="E1" s="1" t="s">
        <v>50</v>
      </c>
      <c r="F1" s="1" t="s">
        <v>2</v>
      </c>
      <c r="G1" s="1" t="s">
        <v>3</v>
      </c>
      <c r="H1" s="1" t="s">
        <v>6</v>
      </c>
      <c r="I1" s="1" t="s">
        <v>4</v>
      </c>
      <c r="J1" s="1" t="s">
        <v>5</v>
      </c>
      <c r="K1" s="1" t="s">
        <v>75</v>
      </c>
      <c r="L1" s="1" t="s">
        <v>55</v>
      </c>
    </row>
    <row r="2" spans="1:12">
      <c r="A2" s="1" t="s">
        <v>154</v>
      </c>
      <c r="B2" s="1">
        <v>10</v>
      </c>
      <c r="C2" s="1" t="s">
        <v>69</v>
      </c>
      <c r="D2" s="1">
        <f>_xlfn.XLOOKUP(C2,貨物係数!$B$2:$B$18,貨物係数!$C$2:$C$18)</f>
        <v>12</v>
      </c>
      <c r="E2" s="1">
        <f>B2*D2</f>
        <v>120</v>
      </c>
      <c r="F2" s="1">
        <v>90</v>
      </c>
      <c r="G2" s="1">
        <v>50</v>
      </c>
      <c r="H2" s="1">
        <v>60</v>
      </c>
      <c r="I2" s="1">
        <f>FIXED(0.008*(E2*H2^0.5/10+((4*F2*G2)*H2^0.4/1000))*L2,2,TRUE)*100</f>
        <v>104</v>
      </c>
      <c r="J2" s="1">
        <f>FIXED((800*E2*(H2^0.5))/10+(2*F2*G2*H2^0.7)/20,0,TRUE)*100</f>
        <v>8226700</v>
      </c>
      <c r="K2" s="1">
        <v>1989</v>
      </c>
      <c r="L2" s="1">
        <v>0.7</v>
      </c>
    </row>
    <row r="3" spans="1:12">
      <c r="B3" s="1">
        <v>10</v>
      </c>
      <c r="C3" s="1" t="s">
        <v>129</v>
      </c>
      <c r="D3" s="1">
        <f>_xlfn.XLOOKUP(C3,貨物係数!$B$2:$B$18,貨物係数!$C$2:$C$18)</f>
        <v>14</v>
      </c>
      <c r="E3" s="1">
        <f t="shared" ref="E3:E6" si="0">B3*D3</f>
        <v>140</v>
      </c>
      <c r="F3" s="1">
        <v>90</v>
      </c>
      <c r="G3" s="1">
        <v>50</v>
      </c>
      <c r="H3" s="1">
        <v>60</v>
      </c>
      <c r="I3" s="1">
        <f t="shared" ref="I3:I24" si="1">FIXED(0.008*(E3*H3^0.5/10+((4*F3*G3)*H3^0.4/1000))*L3,2,TRUE)*100</f>
        <v>112.99999999999999</v>
      </c>
      <c r="J3" s="1">
        <f t="shared" ref="J3:J24" si="2">FIXED((800*E3*(H3^0.5))/10+(2*F3*G3*H3^0.7)/20,0,TRUE)*100</f>
        <v>9466000</v>
      </c>
      <c r="K3" s="1">
        <v>1989</v>
      </c>
      <c r="L3" s="1">
        <v>0.7</v>
      </c>
    </row>
    <row r="4" spans="1:12">
      <c r="B4" s="1">
        <v>10</v>
      </c>
      <c r="C4" s="1" t="s">
        <v>130</v>
      </c>
      <c r="D4" s="1">
        <f>_xlfn.XLOOKUP(C4,貨物係数!$B$2:$B$18,貨物係数!$C$2:$C$18)</f>
        <v>16</v>
      </c>
      <c r="E4" s="1">
        <f t="shared" si="0"/>
        <v>160</v>
      </c>
      <c r="F4" s="1">
        <v>90</v>
      </c>
      <c r="G4" s="1">
        <v>50</v>
      </c>
      <c r="H4" s="1">
        <v>60</v>
      </c>
      <c r="I4" s="1">
        <f t="shared" si="1"/>
        <v>121</v>
      </c>
      <c r="J4" s="1">
        <f t="shared" si="2"/>
        <v>10705400</v>
      </c>
      <c r="K4" s="1">
        <v>1989</v>
      </c>
      <c r="L4" s="1">
        <v>0.7</v>
      </c>
    </row>
    <row r="5" spans="1:12">
      <c r="B5" s="1">
        <v>100</v>
      </c>
      <c r="C5" s="1" t="s">
        <v>140</v>
      </c>
      <c r="D5" s="1">
        <f>_xlfn.XLOOKUP(C5,貨物係数!$B$2:$B$18,貨物係数!$C$2:$C$18)</f>
        <v>1.53</v>
      </c>
      <c r="E5" s="1">
        <f t="shared" ref="E5" si="3">B5*D5</f>
        <v>153</v>
      </c>
      <c r="F5" s="1">
        <v>90</v>
      </c>
      <c r="G5" s="1">
        <v>50</v>
      </c>
      <c r="H5" s="1">
        <v>60</v>
      </c>
      <c r="I5" s="1">
        <f t="shared" si="1"/>
        <v>118</v>
      </c>
      <c r="J5" s="1">
        <f>FIXED((800*E5*(H5^0.5))/10+(2*F5*G5*H5^0.7)/20,0,TRUE)*100</f>
        <v>10271600</v>
      </c>
      <c r="K5" s="1">
        <v>1989</v>
      </c>
      <c r="L5" s="1">
        <v>0.7</v>
      </c>
    </row>
    <row r="6" spans="1:12">
      <c r="B6" s="1">
        <v>10</v>
      </c>
      <c r="C6" s="1" t="s">
        <v>139</v>
      </c>
      <c r="D6" s="1">
        <f>_xlfn.XLOOKUP(C6,貨物係数!$B$2:$B$18,貨物係数!$C$2:$C$18)</f>
        <v>14</v>
      </c>
      <c r="E6" s="1">
        <f t="shared" si="0"/>
        <v>140</v>
      </c>
      <c r="F6" s="1">
        <v>90</v>
      </c>
      <c r="G6" s="1">
        <v>50</v>
      </c>
      <c r="H6" s="1">
        <v>60</v>
      </c>
      <c r="I6" s="1">
        <f t="shared" si="1"/>
        <v>112.99999999999999</v>
      </c>
      <c r="J6" s="1">
        <f t="shared" si="2"/>
        <v>9466000</v>
      </c>
      <c r="K6" s="1">
        <v>1989</v>
      </c>
      <c r="L6" s="1">
        <v>0.7</v>
      </c>
    </row>
    <row r="7" spans="1:12">
      <c r="I7" s="1">
        <f t="shared" si="1"/>
        <v>0</v>
      </c>
    </row>
    <row r="8" spans="1:12">
      <c r="A8" s="1" t="s">
        <v>152</v>
      </c>
      <c r="B8" s="1">
        <v>20</v>
      </c>
      <c r="C8" s="1" t="s">
        <v>69</v>
      </c>
      <c r="D8" s="1">
        <f>_xlfn.XLOOKUP(C8,貨物係数!$B$2:$B$18,貨物係数!$C$2:$C$18)</f>
        <v>12</v>
      </c>
      <c r="E8" s="1">
        <f t="shared" ref="E8:E20" si="4">B8*D8</f>
        <v>240</v>
      </c>
      <c r="F8" s="1">
        <v>200</v>
      </c>
      <c r="G8" s="1">
        <v>70</v>
      </c>
      <c r="H8" s="1">
        <v>110</v>
      </c>
      <c r="I8" s="1">
        <f t="shared" si="1"/>
        <v>124</v>
      </c>
      <c r="J8" s="1">
        <f t="shared" si="2"/>
        <v>23896400</v>
      </c>
      <c r="K8" s="1">
        <v>1988</v>
      </c>
      <c r="L8" s="1">
        <v>0.25</v>
      </c>
    </row>
    <row r="9" spans="1:12">
      <c r="B9" s="1">
        <v>20</v>
      </c>
      <c r="C9" s="1" t="s">
        <v>129</v>
      </c>
      <c r="D9" s="1">
        <f>_xlfn.XLOOKUP(C9,貨物係数!$B$2:$B$18,貨物係数!$C$2:$C$18)</f>
        <v>14</v>
      </c>
      <c r="E9" s="1">
        <f t="shared" si="4"/>
        <v>280</v>
      </c>
      <c r="F9" s="1">
        <v>200</v>
      </c>
      <c r="G9" s="1">
        <v>70</v>
      </c>
      <c r="H9" s="1">
        <v>110</v>
      </c>
      <c r="I9" s="1">
        <f t="shared" si="1"/>
        <v>132</v>
      </c>
      <c r="J9" s="1">
        <f t="shared" si="2"/>
        <v>27252600</v>
      </c>
      <c r="K9" s="1">
        <v>1988</v>
      </c>
      <c r="L9" s="1">
        <v>0.25</v>
      </c>
    </row>
    <row r="10" spans="1:12">
      <c r="B10" s="1">
        <v>20</v>
      </c>
      <c r="C10" s="1" t="s">
        <v>130</v>
      </c>
      <c r="D10" s="1">
        <f>_xlfn.XLOOKUP(C10,貨物係数!$B$2:$B$18,貨物係数!$C$2:$C$18)</f>
        <v>16</v>
      </c>
      <c r="E10" s="1">
        <f t="shared" si="4"/>
        <v>320</v>
      </c>
      <c r="F10" s="1">
        <v>200</v>
      </c>
      <c r="G10" s="1">
        <v>70</v>
      </c>
      <c r="H10" s="1">
        <v>110</v>
      </c>
      <c r="I10" s="1">
        <f t="shared" si="1"/>
        <v>141</v>
      </c>
      <c r="J10" s="1">
        <f t="shared" si="2"/>
        <v>30608800</v>
      </c>
      <c r="K10" s="1">
        <v>1988</v>
      </c>
      <c r="L10" s="1">
        <v>0.25</v>
      </c>
    </row>
    <row r="11" spans="1:12">
      <c r="B11" s="1">
        <v>200</v>
      </c>
      <c r="C11" s="1" t="s">
        <v>140</v>
      </c>
      <c r="D11" s="1">
        <f>_xlfn.XLOOKUP(C11,貨物係数!$B$2:$B$18,貨物係数!$C$2:$C$18)</f>
        <v>1.53</v>
      </c>
      <c r="E11" s="1">
        <f t="shared" ref="E11" si="5">B11*D11</f>
        <v>306</v>
      </c>
      <c r="F11" s="1">
        <v>200</v>
      </c>
      <c r="G11" s="1">
        <v>70</v>
      </c>
      <c r="H11" s="1">
        <v>110</v>
      </c>
      <c r="I11" s="1">
        <f t="shared" si="1"/>
        <v>138</v>
      </c>
      <c r="J11" s="1">
        <f t="shared" si="2"/>
        <v>29434100</v>
      </c>
      <c r="K11" s="1">
        <v>1988</v>
      </c>
      <c r="L11" s="1">
        <v>0.25</v>
      </c>
    </row>
    <row r="12" spans="1:12">
      <c r="B12" s="1">
        <v>20</v>
      </c>
      <c r="C12" s="1" t="s">
        <v>139</v>
      </c>
      <c r="D12" s="1">
        <f>_xlfn.XLOOKUP(C12,貨物係数!$B$2:$B$18,貨物係数!$C$2:$C$18)</f>
        <v>14</v>
      </c>
      <c r="E12" s="1">
        <f t="shared" si="4"/>
        <v>280</v>
      </c>
      <c r="F12" s="1">
        <v>200</v>
      </c>
      <c r="G12" s="1">
        <v>70</v>
      </c>
      <c r="H12" s="1">
        <v>110</v>
      </c>
      <c r="I12" s="1">
        <f t="shared" si="1"/>
        <v>132</v>
      </c>
      <c r="J12" s="1">
        <f t="shared" si="2"/>
        <v>27252600</v>
      </c>
      <c r="K12" s="1">
        <v>1988</v>
      </c>
      <c r="L12" s="1">
        <v>0.25</v>
      </c>
    </row>
    <row r="13" spans="1:12">
      <c r="I13" s="1">
        <f t="shared" si="1"/>
        <v>0</v>
      </c>
    </row>
    <row r="14" spans="1:12">
      <c r="A14" s="1" t="s">
        <v>150</v>
      </c>
      <c r="B14" s="1">
        <v>18</v>
      </c>
      <c r="C14" s="1" t="s">
        <v>69</v>
      </c>
      <c r="D14" s="1">
        <f>_xlfn.XLOOKUP(C14,貨物係数!$B$2:$B$18,貨物係数!$C$2:$C$18)</f>
        <v>12</v>
      </c>
      <c r="E14" s="1">
        <f t="shared" ref="E14" si="6">B14*D14</f>
        <v>216</v>
      </c>
      <c r="F14" s="1">
        <v>200</v>
      </c>
      <c r="G14" s="1">
        <v>70</v>
      </c>
      <c r="H14" s="1">
        <v>110</v>
      </c>
      <c r="I14" s="1">
        <f t="shared" si="1"/>
        <v>119</v>
      </c>
      <c r="J14" s="1">
        <f t="shared" si="2"/>
        <v>21882700</v>
      </c>
      <c r="K14" s="1">
        <v>1988</v>
      </c>
      <c r="L14" s="1">
        <v>0.25</v>
      </c>
    </row>
    <row r="15" spans="1:12">
      <c r="I15" s="1">
        <f t="shared" si="1"/>
        <v>0</v>
      </c>
    </row>
    <row r="16" spans="1:12">
      <c r="A16" s="1" t="s">
        <v>155</v>
      </c>
      <c r="B16" s="1">
        <v>15</v>
      </c>
      <c r="C16" s="1" t="s">
        <v>69</v>
      </c>
      <c r="D16" s="1">
        <f>_xlfn.XLOOKUP(C16,貨物係数!$B$2:$B$18,貨物係数!$C$2:$C$18)</f>
        <v>12</v>
      </c>
      <c r="E16" s="1">
        <f t="shared" ref="E16" si="7">B16*D16</f>
        <v>180</v>
      </c>
      <c r="F16" s="1">
        <v>200</v>
      </c>
      <c r="G16" s="1">
        <v>70</v>
      </c>
      <c r="H16" s="1">
        <v>110</v>
      </c>
      <c r="I16" s="1">
        <f t="shared" si="1"/>
        <v>111.00000000000001</v>
      </c>
      <c r="J16" s="1">
        <f t="shared" si="2"/>
        <v>18862100</v>
      </c>
      <c r="K16" s="1">
        <v>1988</v>
      </c>
      <c r="L16" s="1">
        <v>0.25</v>
      </c>
    </row>
    <row r="17" spans="1:12">
      <c r="B17" s="1">
        <v>10</v>
      </c>
      <c r="C17" s="1" t="s">
        <v>71</v>
      </c>
      <c r="D17" s="1">
        <f>_xlfn.XLOOKUP(C17,貨物係数!$B$2:$B$18,貨物係数!$C$2:$C$18)</f>
        <v>14</v>
      </c>
      <c r="E17" s="1">
        <f t="shared" si="4"/>
        <v>140</v>
      </c>
      <c r="F17" s="1">
        <v>200</v>
      </c>
      <c r="G17" s="1">
        <v>70</v>
      </c>
      <c r="H17" s="1">
        <v>110</v>
      </c>
      <c r="I17" s="1">
        <f t="shared" si="1"/>
        <v>103</v>
      </c>
      <c r="J17" s="1">
        <f t="shared" si="2"/>
        <v>15505900</v>
      </c>
      <c r="K17" s="1">
        <v>1988</v>
      </c>
      <c r="L17" s="1">
        <v>0.25</v>
      </c>
    </row>
    <row r="18" spans="1:12">
      <c r="B18" s="1">
        <v>10</v>
      </c>
      <c r="C18" s="1" t="s">
        <v>137</v>
      </c>
      <c r="D18" s="1">
        <f>_xlfn.XLOOKUP(C18,貨物係数!$B$2:$B$18,貨物係数!$C$2:$C$18)</f>
        <v>10.77</v>
      </c>
      <c r="E18" s="1">
        <f t="shared" ref="E18:E19" si="8">B18*D18</f>
        <v>107.69999999999999</v>
      </c>
      <c r="F18" s="1">
        <v>200</v>
      </c>
      <c r="G18" s="1">
        <v>70</v>
      </c>
      <c r="H18" s="1">
        <v>110</v>
      </c>
      <c r="I18" s="1">
        <f t="shared" si="1"/>
        <v>96</v>
      </c>
      <c r="J18" s="1">
        <f t="shared" si="2"/>
        <v>12795800</v>
      </c>
      <c r="K18" s="1">
        <v>1988</v>
      </c>
      <c r="L18" s="1">
        <v>0.25</v>
      </c>
    </row>
    <row r="19" spans="1:12">
      <c r="B19" s="1">
        <v>15</v>
      </c>
      <c r="C19" s="1" t="s">
        <v>138</v>
      </c>
      <c r="D19" s="1">
        <f>_xlfn.XLOOKUP(C19,貨物係数!$B$2:$B$18,貨物係数!$C$2:$C$18)</f>
        <v>3.93</v>
      </c>
      <c r="E19" s="1">
        <f t="shared" si="8"/>
        <v>58.95</v>
      </c>
      <c r="F19" s="1">
        <v>200</v>
      </c>
      <c r="G19" s="1">
        <v>70</v>
      </c>
      <c r="H19" s="1">
        <v>110</v>
      </c>
      <c r="I19" s="1">
        <f t="shared" si="1"/>
        <v>86</v>
      </c>
      <c r="J19" s="1">
        <f t="shared" si="2"/>
        <v>8705400</v>
      </c>
      <c r="K19" s="1">
        <v>1988</v>
      </c>
      <c r="L19" s="1">
        <v>0.25</v>
      </c>
    </row>
    <row r="20" spans="1:12">
      <c r="B20" s="1">
        <v>20</v>
      </c>
      <c r="C20" s="1" t="s">
        <v>134</v>
      </c>
      <c r="D20" s="1">
        <f>_xlfn.XLOOKUP(C20,貨物係数!$B$2:$B$18,貨物係数!$C$2:$C$18)</f>
        <v>14</v>
      </c>
      <c r="E20" s="1">
        <f t="shared" si="4"/>
        <v>280</v>
      </c>
      <c r="F20" s="1">
        <v>200</v>
      </c>
      <c r="G20" s="1">
        <v>70</v>
      </c>
      <c r="H20" s="1">
        <v>110</v>
      </c>
      <c r="I20" s="1">
        <f t="shared" si="1"/>
        <v>132</v>
      </c>
      <c r="J20" s="1">
        <f t="shared" si="2"/>
        <v>27252600</v>
      </c>
      <c r="K20" s="1">
        <v>1988</v>
      </c>
      <c r="L20" s="1">
        <v>0.25</v>
      </c>
    </row>
    <row r="21" spans="1:12">
      <c r="I21" s="1">
        <f t="shared" si="1"/>
        <v>0</v>
      </c>
    </row>
    <row r="22" spans="1:12">
      <c r="A22" s="1" t="s">
        <v>153</v>
      </c>
      <c r="B22" s="1">
        <v>180</v>
      </c>
      <c r="C22" s="1" t="s">
        <v>71</v>
      </c>
      <c r="D22" s="1">
        <f>_xlfn.XLOOKUP(C22,貨物係数!$B$2:$B$18,貨物係数!$C$2:$C$18)</f>
        <v>14</v>
      </c>
      <c r="E22" s="1">
        <f>B22*D22</f>
        <v>2520</v>
      </c>
      <c r="F22" s="1">
        <v>1335</v>
      </c>
      <c r="G22" s="1">
        <v>95</v>
      </c>
      <c r="H22" s="1">
        <v>35</v>
      </c>
      <c r="I22" s="1">
        <f t="shared" si="1"/>
        <v>863.00000000000011</v>
      </c>
      <c r="J22" s="1">
        <f t="shared" si="2"/>
        <v>134545700</v>
      </c>
      <c r="K22" s="1">
        <v>1970</v>
      </c>
      <c r="L22" s="1">
        <v>0.3</v>
      </c>
    </row>
    <row r="23" spans="1:12">
      <c r="I23" s="1">
        <f t="shared" si="1"/>
        <v>0</v>
      </c>
    </row>
    <row r="24" spans="1:12">
      <c r="A24" s="1" t="s">
        <v>151</v>
      </c>
      <c r="B24" s="1">
        <v>20</v>
      </c>
      <c r="C24" s="1" t="s">
        <v>132</v>
      </c>
      <c r="D24" s="1">
        <f>_xlfn.XLOOKUP(C24,貨物係数!$B$2:$B$18,貨物係数!$C$2:$C$18)</f>
        <v>14</v>
      </c>
      <c r="E24" s="1">
        <f>B24*D24</f>
        <v>280</v>
      </c>
      <c r="F24" s="1">
        <v>250</v>
      </c>
      <c r="G24" s="1">
        <v>70</v>
      </c>
      <c r="H24" s="1">
        <v>100</v>
      </c>
      <c r="I24" s="1">
        <f t="shared" si="1"/>
        <v>144</v>
      </c>
      <c r="J24" s="1">
        <f t="shared" si="2"/>
        <v>26795800</v>
      </c>
      <c r="K24" s="1">
        <v>1990</v>
      </c>
      <c r="L24" s="1">
        <v>0.25</v>
      </c>
    </row>
  </sheetData>
  <phoneticPr fontId="1"/>
  <pageMargins left="0.75" right="0.75" top="1" bottom="1" header="0.5" footer="0.5"/>
  <pageSetup paperSize="9" orientation="portrait" horizontalDpi="4294967293" verticalDpi="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6F4A5D-3910-41EB-98AF-73D4BC645F3B}">
          <x14:formula1>
            <xm:f>貨物係数!$B$2:$B$15</xm:f>
          </x14:formula1>
          <xm:sqref>C2:C1048576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C7A6-64BA-43B9-A5A2-3AEDF1D9AA6F}">
  <dimension ref="A1:G5"/>
  <sheetViews>
    <sheetView workbookViewId="0">
      <selection activeCell="F3" sqref="F3"/>
    </sheetView>
  </sheetViews>
  <sheetFormatPr defaultRowHeight="13.5"/>
  <sheetData>
    <row r="1" spans="1:7">
      <c r="A1" t="s">
        <v>1</v>
      </c>
      <c r="B1" t="s">
        <v>0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7">
      <c r="A2" t="s">
        <v>23</v>
      </c>
      <c r="B2">
        <v>2050</v>
      </c>
      <c r="C2">
        <v>4870</v>
      </c>
      <c r="D2">
        <v>100</v>
      </c>
      <c r="E2">
        <f>16.21*1.852</f>
        <v>30.020920000000004</v>
      </c>
      <c r="F2">
        <f>0.004*(B2*E2^0.5/10+(2*(C2*D2)*E2^0.4/1000))</f>
        <v>19.683967044507998</v>
      </c>
      <c r="G2">
        <f>(800*B2*(E2^0.5))/10+(C2*D2*E2^0.7)/20</f>
        <v>1162026.6550607765</v>
      </c>
    </row>
    <row r="3" spans="1:7">
      <c r="B3">
        <v>300</v>
      </c>
      <c r="E3">
        <f>16.21*1.852</f>
        <v>30.020920000000004</v>
      </c>
      <c r="F3">
        <f>0.004*(B3*E3^0.5/10+(2*(C3*D3)*E3^0.4/1000))</f>
        <v>0.65749619618671562</v>
      </c>
      <c r="G3">
        <f>(800*B3*(E3^0.5))/10+(C3*D3*E3^0.7)/20</f>
        <v>131499.23923734314</v>
      </c>
    </row>
    <row r="5" spans="1:7">
      <c r="A5" t="s">
        <v>24</v>
      </c>
      <c r="B5">
        <v>740</v>
      </c>
      <c r="C5">
        <v>58000</v>
      </c>
      <c r="D5">
        <v>100</v>
      </c>
      <c r="E5">
        <v>76</v>
      </c>
      <c r="F5">
        <f>0.004*(B5*E5^0.5/10+(2*(C5*D5)*E5^0.4/1000))</f>
        <v>264.90772478335555</v>
      </c>
      <c r="G5">
        <f>(800*B5*(E5^0.5))/10+(C5*D5*E5^0.7)/20</f>
        <v>6527381.3170894235</v>
      </c>
    </row>
  </sheetData>
  <phoneticPr fontId="1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1A99-828A-4E74-9BC8-5253CE923264}">
  <dimension ref="A1:K139"/>
  <sheetViews>
    <sheetView workbookViewId="0">
      <selection activeCell="A2" sqref="A2"/>
    </sheetView>
  </sheetViews>
  <sheetFormatPr defaultRowHeight="13.5"/>
  <cols>
    <col min="1" max="1" width="18" customWidth="1"/>
    <col min="2" max="2" width="7.125" bestFit="1" customWidth="1"/>
    <col min="3" max="3" width="5.25" bestFit="1" customWidth="1"/>
    <col min="4" max="4" width="11.125" bestFit="1" customWidth="1"/>
  </cols>
  <sheetData>
    <row r="1" spans="1:11">
      <c r="A1" t="s">
        <v>1</v>
      </c>
      <c r="B1" t="s">
        <v>54</v>
      </c>
      <c r="C1" t="s">
        <v>55</v>
      </c>
      <c r="D1" t="s">
        <v>50</v>
      </c>
      <c r="E1" t="s">
        <v>2</v>
      </c>
      <c r="F1" t="s">
        <v>3</v>
      </c>
      <c r="G1" t="s">
        <v>6</v>
      </c>
      <c r="H1" t="s">
        <v>4</v>
      </c>
      <c r="I1" t="s">
        <v>5</v>
      </c>
      <c r="J1" t="s">
        <v>75</v>
      </c>
      <c r="K1" t="s">
        <v>55</v>
      </c>
    </row>
    <row r="2" spans="1:11">
      <c r="A2" t="s">
        <v>107</v>
      </c>
      <c r="B2" t="s">
        <v>108</v>
      </c>
    </row>
    <row r="3" spans="1:11">
      <c r="A3" t="s">
        <v>113</v>
      </c>
      <c r="B3">
        <v>165</v>
      </c>
      <c r="C3">
        <v>2.2000000000000002</v>
      </c>
      <c r="D3">
        <f>B3*C3</f>
        <v>363.00000000000006</v>
      </c>
      <c r="E3">
        <v>1050</v>
      </c>
      <c r="F3">
        <v>100</v>
      </c>
      <c r="G3">
        <v>25</v>
      </c>
      <c r="H3">
        <f>0.004*(D3*G3^0.5/10+(2*(E3*F3)*G3^0.4/1000))*K3*100</f>
        <v>358.15708580740051</v>
      </c>
      <c r="I3">
        <f>(800*D3*(G3^0.5))/10+(E3*F3*G3^0.7)/20</f>
        <v>195170.91589129184</v>
      </c>
      <c r="J3">
        <v>1942</v>
      </c>
      <c r="K3">
        <v>0.95</v>
      </c>
    </row>
    <row r="4" spans="1:11">
      <c r="A4" t="s">
        <v>117</v>
      </c>
      <c r="B4">
        <v>165</v>
      </c>
      <c r="C4">
        <v>2.2000000000000002</v>
      </c>
      <c r="D4">
        <f>B4*C4</f>
        <v>363.00000000000006</v>
      </c>
      <c r="G4">
        <v>25</v>
      </c>
      <c r="H4">
        <f t="shared" ref="H4:H67" si="0">0.004*(D4*G4^0.5/10+(2*(E4*F4)*G4^0.4/1000))*K4*100</f>
        <v>68.970000000000013</v>
      </c>
      <c r="I4">
        <f t="shared" ref="I4:I67" si="1">(800*D4*(G4^0.5))/10+(E4*F4*G4^0.7)/20</f>
        <v>145200.00000000003</v>
      </c>
      <c r="J4">
        <v>1942</v>
      </c>
      <c r="K4">
        <v>0.95</v>
      </c>
    </row>
    <row r="5" spans="1:11">
      <c r="C5">
        <v>2.2000000000000002</v>
      </c>
      <c r="D5">
        <f>B5*C5</f>
        <v>0</v>
      </c>
      <c r="H5">
        <f t="shared" si="0"/>
        <v>0</v>
      </c>
      <c r="I5">
        <f t="shared" si="1"/>
        <v>0</v>
      </c>
    </row>
    <row r="6" spans="1:11">
      <c r="H6">
        <f t="shared" si="0"/>
        <v>0</v>
      </c>
      <c r="I6">
        <f t="shared" si="1"/>
        <v>0</v>
      </c>
    </row>
    <row r="7" spans="1:11">
      <c r="H7">
        <f t="shared" si="0"/>
        <v>0</v>
      </c>
      <c r="I7">
        <f t="shared" si="1"/>
        <v>0</v>
      </c>
    </row>
    <row r="8" spans="1:11">
      <c r="A8" t="s">
        <v>69</v>
      </c>
      <c r="B8" t="s">
        <v>109</v>
      </c>
      <c r="H8">
        <f t="shared" si="0"/>
        <v>0</v>
      </c>
      <c r="I8">
        <f t="shared" si="1"/>
        <v>0</v>
      </c>
    </row>
    <row r="9" spans="1:11">
      <c r="A9" t="s">
        <v>116</v>
      </c>
      <c r="B9">
        <v>1500</v>
      </c>
      <c r="C9">
        <v>0.4</v>
      </c>
      <c r="D9">
        <f>B9*C9</f>
        <v>600</v>
      </c>
      <c r="E9">
        <v>880</v>
      </c>
      <c r="F9">
        <v>100</v>
      </c>
      <c r="G9">
        <v>34</v>
      </c>
      <c r="H9">
        <f t="shared" si="0"/>
        <v>428.45507440293511</v>
      </c>
      <c r="I9">
        <f t="shared" si="1"/>
        <v>331824.01341743802</v>
      </c>
      <c r="J9">
        <v>1938</v>
      </c>
      <c r="K9">
        <v>1</v>
      </c>
    </row>
    <row r="10" spans="1:11">
      <c r="C10">
        <v>0.4</v>
      </c>
      <c r="D10">
        <f>B10*C10</f>
        <v>0</v>
      </c>
      <c r="H10">
        <f t="shared" si="0"/>
        <v>0</v>
      </c>
      <c r="I10">
        <f t="shared" si="1"/>
        <v>0</v>
      </c>
    </row>
    <row r="11" spans="1:11">
      <c r="C11">
        <v>0.4</v>
      </c>
      <c r="D11">
        <f>B11*C11</f>
        <v>0</v>
      </c>
      <c r="H11">
        <f t="shared" si="0"/>
        <v>0</v>
      </c>
      <c r="I11">
        <f t="shared" si="1"/>
        <v>0</v>
      </c>
    </row>
    <row r="12" spans="1:11">
      <c r="C12">
        <v>0.4</v>
      </c>
      <c r="D12">
        <f>B12*C12</f>
        <v>0</v>
      </c>
      <c r="H12">
        <f t="shared" si="0"/>
        <v>0</v>
      </c>
      <c r="I12">
        <f t="shared" si="1"/>
        <v>0</v>
      </c>
    </row>
    <row r="13" spans="1:11">
      <c r="C13">
        <v>0.4</v>
      </c>
      <c r="D13">
        <f>B13*C13</f>
        <v>0</v>
      </c>
      <c r="H13">
        <f t="shared" si="0"/>
        <v>0</v>
      </c>
      <c r="I13">
        <f t="shared" si="1"/>
        <v>0</v>
      </c>
    </row>
    <row r="14" spans="1:11">
      <c r="H14">
        <f t="shared" si="0"/>
        <v>0</v>
      </c>
      <c r="I14">
        <f t="shared" si="1"/>
        <v>0</v>
      </c>
    </row>
    <row r="15" spans="1:11">
      <c r="H15">
        <f t="shared" si="0"/>
        <v>0</v>
      </c>
      <c r="I15">
        <f t="shared" si="1"/>
        <v>0</v>
      </c>
    </row>
    <row r="16" spans="1:11">
      <c r="A16" t="s">
        <v>110</v>
      </c>
      <c r="B16" t="s">
        <v>111</v>
      </c>
      <c r="H16">
        <f t="shared" si="0"/>
        <v>0</v>
      </c>
      <c r="I16">
        <f t="shared" si="1"/>
        <v>0</v>
      </c>
    </row>
    <row r="17" spans="1:11">
      <c r="A17" t="s">
        <v>115</v>
      </c>
      <c r="B17">
        <v>140</v>
      </c>
      <c r="C17">
        <v>3</v>
      </c>
      <c r="D17">
        <f t="shared" ref="D17:D22" si="2">B17*C17</f>
        <v>420</v>
      </c>
      <c r="E17">
        <v>490</v>
      </c>
      <c r="F17">
        <v>110</v>
      </c>
      <c r="G17">
        <v>25</v>
      </c>
      <c r="H17">
        <f t="shared" si="0"/>
        <v>228.24937071446561</v>
      </c>
      <c r="I17">
        <f t="shared" si="1"/>
        <v>193651.73682419647</v>
      </c>
      <c r="J17">
        <v>1948</v>
      </c>
      <c r="K17">
        <v>0.95</v>
      </c>
    </row>
    <row r="18" spans="1:11">
      <c r="C18">
        <v>3</v>
      </c>
      <c r="D18">
        <f t="shared" si="2"/>
        <v>0</v>
      </c>
      <c r="H18">
        <f t="shared" si="0"/>
        <v>0</v>
      </c>
      <c r="I18">
        <f t="shared" si="1"/>
        <v>0</v>
      </c>
    </row>
    <row r="19" spans="1:11">
      <c r="C19">
        <v>3</v>
      </c>
      <c r="D19">
        <f t="shared" si="2"/>
        <v>0</v>
      </c>
      <c r="H19">
        <f t="shared" si="0"/>
        <v>0</v>
      </c>
      <c r="I19">
        <f t="shared" si="1"/>
        <v>0</v>
      </c>
    </row>
    <row r="20" spans="1:11">
      <c r="C20">
        <v>3</v>
      </c>
      <c r="D20">
        <f t="shared" si="2"/>
        <v>0</v>
      </c>
      <c r="H20">
        <f t="shared" si="0"/>
        <v>0</v>
      </c>
      <c r="I20">
        <f t="shared" si="1"/>
        <v>0</v>
      </c>
    </row>
    <row r="21" spans="1:11">
      <c r="C21">
        <v>3</v>
      </c>
      <c r="D21">
        <f t="shared" si="2"/>
        <v>0</v>
      </c>
      <c r="H21">
        <f t="shared" si="0"/>
        <v>0</v>
      </c>
      <c r="I21">
        <f t="shared" si="1"/>
        <v>0</v>
      </c>
    </row>
    <row r="22" spans="1:11">
      <c r="C22">
        <v>3</v>
      </c>
      <c r="D22">
        <f t="shared" si="2"/>
        <v>0</v>
      </c>
      <c r="H22">
        <f t="shared" si="0"/>
        <v>0</v>
      </c>
      <c r="I22">
        <f t="shared" si="1"/>
        <v>0</v>
      </c>
    </row>
    <row r="23" spans="1:11">
      <c r="H23">
        <f t="shared" si="0"/>
        <v>0</v>
      </c>
      <c r="I23">
        <f t="shared" si="1"/>
        <v>0</v>
      </c>
    </row>
    <row r="24" spans="1:11">
      <c r="H24">
        <f t="shared" si="0"/>
        <v>0</v>
      </c>
      <c r="I24">
        <f t="shared" si="1"/>
        <v>0</v>
      </c>
    </row>
    <row r="25" spans="1:11">
      <c r="H25">
        <f t="shared" si="0"/>
        <v>0</v>
      </c>
      <c r="I25">
        <f t="shared" si="1"/>
        <v>0</v>
      </c>
    </row>
    <row r="26" spans="1:11">
      <c r="A26" t="s">
        <v>77</v>
      </c>
      <c r="B26" t="s">
        <v>82</v>
      </c>
      <c r="H26">
        <f t="shared" si="0"/>
        <v>0</v>
      </c>
      <c r="I26">
        <f t="shared" si="1"/>
        <v>0</v>
      </c>
    </row>
    <row r="27" spans="1:11">
      <c r="C27">
        <v>2.5</v>
      </c>
      <c r="D27">
        <f>B27*C27</f>
        <v>0</v>
      </c>
      <c r="H27">
        <f t="shared" si="0"/>
        <v>0</v>
      </c>
      <c r="I27">
        <f t="shared" si="1"/>
        <v>0</v>
      </c>
    </row>
    <row r="28" spans="1:11">
      <c r="C28">
        <v>2.5</v>
      </c>
      <c r="D28">
        <f>B28*C28</f>
        <v>0</v>
      </c>
      <c r="H28">
        <f t="shared" si="0"/>
        <v>0</v>
      </c>
      <c r="I28">
        <f t="shared" si="1"/>
        <v>0</v>
      </c>
    </row>
    <row r="29" spans="1:11">
      <c r="C29">
        <v>2.5</v>
      </c>
      <c r="D29">
        <f>B29*C29</f>
        <v>0</v>
      </c>
      <c r="H29">
        <f t="shared" si="0"/>
        <v>0</v>
      </c>
      <c r="I29">
        <f t="shared" si="1"/>
        <v>0</v>
      </c>
    </row>
    <row r="30" spans="1:11">
      <c r="H30">
        <f t="shared" si="0"/>
        <v>0</v>
      </c>
      <c r="I30">
        <f t="shared" si="1"/>
        <v>0</v>
      </c>
    </row>
    <row r="31" spans="1:11">
      <c r="A31" t="s">
        <v>78</v>
      </c>
      <c r="B31" t="s">
        <v>102</v>
      </c>
      <c r="H31">
        <f t="shared" si="0"/>
        <v>0</v>
      </c>
      <c r="I31">
        <f t="shared" si="1"/>
        <v>0</v>
      </c>
    </row>
    <row r="32" spans="1:11">
      <c r="A32" t="s">
        <v>114</v>
      </c>
      <c r="B32">
        <v>140</v>
      </c>
      <c r="C32">
        <v>2</v>
      </c>
      <c r="D32">
        <f>B32*C32</f>
        <v>280</v>
      </c>
      <c r="E32">
        <v>1050</v>
      </c>
      <c r="F32">
        <v>100</v>
      </c>
      <c r="G32">
        <v>24</v>
      </c>
      <c r="H32">
        <f t="shared" si="0"/>
        <v>318.91120485896857</v>
      </c>
      <c r="I32">
        <f t="shared" si="1"/>
        <v>158300.32665602415</v>
      </c>
      <c r="J32">
        <v>1955</v>
      </c>
      <c r="K32">
        <v>0.9</v>
      </c>
    </row>
    <row r="33" spans="1:11">
      <c r="A33" t="s">
        <v>118</v>
      </c>
      <c r="B33">
        <v>140</v>
      </c>
      <c r="C33">
        <v>2</v>
      </c>
      <c r="D33">
        <f>B33*C33</f>
        <v>280</v>
      </c>
      <c r="G33">
        <v>24</v>
      </c>
      <c r="H33">
        <f t="shared" si="0"/>
        <v>49.381713214508864</v>
      </c>
      <c r="I33">
        <f t="shared" si="1"/>
        <v>109737.14047668637</v>
      </c>
      <c r="J33">
        <v>1955</v>
      </c>
      <c r="K33">
        <v>0.9</v>
      </c>
    </row>
    <row r="34" spans="1:11">
      <c r="C34">
        <v>2</v>
      </c>
      <c r="D34">
        <f>B34*C34</f>
        <v>0</v>
      </c>
      <c r="H34">
        <f t="shared" si="0"/>
        <v>0</v>
      </c>
      <c r="I34">
        <f t="shared" si="1"/>
        <v>0</v>
      </c>
    </row>
    <row r="35" spans="1:11">
      <c r="H35">
        <f t="shared" si="0"/>
        <v>0</v>
      </c>
      <c r="I35">
        <f t="shared" si="1"/>
        <v>0</v>
      </c>
    </row>
    <row r="36" spans="1:11">
      <c r="A36" t="s">
        <v>85</v>
      </c>
      <c r="B36" t="s">
        <v>103</v>
      </c>
      <c r="H36">
        <f t="shared" si="0"/>
        <v>0</v>
      </c>
      <c r="I36">
        <f t="shared" si="1"/>
        <v>0</v>
      </c>
    </row>
    <row r="37" spans="1:11">
      <c r="C37">
        <v>0.5</v>
      </c>
      <c r="D37">
        <f>B37*C37</f>
        <v>0</v>
      </c>
      <c r="H37">
        <f t="shared" si="0"/>
        <v>0</v>
      </c>
      <c r="I37">
        <f t="shared" si="1"/>
        <v>0</v>
      </c>
    </row>
    <row r="38" spans="1:11">
      <c r="C38">
        <v>0.5</v>
      </c>
      <c r="D38">
        <f>B38*C38</f>
        <v>0</v>
      </c>
      <c r="H38">
        <f t="shared" si="0"/>
        <v>0</v>
      </c>
      <c r="I38">
        <f t="shared" si="1"/>
        <v>0</v>
      </c>
    </row>
    <row r="39" spans="1:11">
      <c r="H39">
        <f t="shared" si="0"/>
        <v>0</v>
      </c>
      <c r="I39">
        <f t="shared" si="1"/>
        <v>0</v>
      </c>
    </row>
    <row r="40" spans="1:11">
      <c r="H40">
        <f t="shared" si="0"/>
        <v>0</v>
      </c>
      <c r="I40">
        <f t="shared" si="1"/>
        <v>0</v>
      </c>
    </row>
    <row r="41" spans="1:11">
      <c r="A41" t="s">
        <v>86</v>
      </c>
      <c r="B41" t="s">
        <v>111</v>
      </c>
      <c r="H41">
        <f t="shared" si="0"/>
        <v>0</v>
      </c>
      <c r="I41">
        <f t="shared" si="1"/>
        <v>0</v>
      </c>
    </row>
    <row r="42" spans="1:11">
      <c r="A42" t="s">
        <v>112</v>
      </c>
      <c r="B42">
        <v>90</v>
      </c>
      <c r="C42">
        <v>5</v>
      </c>
      <c r="D42">
        <f>B42*C42</f>
        <v>450</v>
      </c>
      <c r="E42">
        <v>200</v>
      </c>
      <c r="F42">
        <v>100</v>
      </c>
      <c r="G42">
        <v>28</v>
      </c>
      <c r="H42">
        <f t="shared" si="0"/>
        <v>163.71424909013655</v>
      </c>
      <c r="I42">
        <f t="shared" si="1"/>
        <v>200798.20761515823</v>
      </c>
      <c r="J42">
        <v>1925</v>
      </c>
      <c r="K42">
        <v>1.05</v>
      </c>
    </row>
    <row r="43" spans="1:11">
      <c r="C43">
        <v>5</v>
      </c>
      <c r="D43">
        <f>B43*C43</f>
        <v>0</v>
      </c>
      <c r="H43">
        <f t="shared" si="0"/>
        <v>0</v>
      </c>
      <c r="I43">
        <f t="shared" si="1"/>
        <v>0</v>
      </c>
    </row>
    <row r="44" spans="1:11">
      <c r="C44">
        <v>5</v>
      </c>
      <c r="D44">
        <f>B44*C44</f>
        <v>0</v>
      </c>
      <c r="H44">
        <f t="shared" si="0"/>
        <v>0</v>
      </c>
      <c r="I44">
        <f t="shared" si="1"/>
        <v>0</v>
      </c>
    </row>
    <row r="45" spans="1:11">
      <c r="C45">
        <v>5</v>
      </c>
      <c r="D45">
        <f>B45*C45</f>
        <v>0</v>
      </c>
      <c r="H45">
        <f t="shared" si="0"/>
        <v>0</v>
      </c>
      <c r="I45">
        <f t="shared" si="1"/>
        <v>0</v>
      </c>
    </row>
    <row r="46" spans="1:11">
      <c r="H46">
        <f t="shared" si="0"/>
        <v>0</v>
      </c>
      <c r="I46">
        <f t="shared" si="1"/>
        <v>0</v>
      </c>
    </row>
    <row r="47" spans="1:11">
      <c r="H47">
        <f t="shared" si="0"/>
        <v>0</v>
      </c>
      <c r="I47">
        <f t="shared" si="1"/>
        <v>0</v>
      </c>
    </row>
    <row r="48" spans="1:11">
      <c r="A48" t="s">
        <v>92</v>
      </c>
      <c r="B48" t="s">
        <v>111</v>
      </c>
      <c r="H48">
        <f t="shared" si="0"/>
        <v>0</v>
      </c>
      <c r="I48">
        <f t="shared" si="1"/>
        <v>0</v>
      </c>
    </row>
    <row r="49" spans="1:9">
      <c r="C49">
        <v>2.8</v>
      </c>
      <c r="D49">
        <f>B49*C49</f>
        <v>0</v>
      </c>
      <c r="H49">
        <f t="shared" si="0"/>
        <v>0</v>
      </c>
      <c r="I49">
        <f t="shared" si="1"/>
        <v>0</v>
      </c>
    </row>
    <row r="50" spans="1:9">
      <c r="C50">
        <v>2.8</v>
      </c>
      <c r="D50">
        <f>B50*C50</f>
        <v>0</v>
      </c>
      <c r="H50">
        <f t="shared" si="0"/>
        <v>0</v>
      </c>
      <c r="I50">
        <f t="shared" si="1"/>
        <v>0</v>
      </c>
    </row>
    <row r="51" spans="1:9">
      <c r="H51">
        <f t="shared" si="0"/>
        <v>0</v>
      </c>
      <c r="I51">
        <f t="shared" si="1"/>
        <v>0</v>
      </c>
    </row>
    <row r="52" spans="1:9">
      <c r="H52">
        <f t="shared" si="0"/>
        <v>0</v>
      </c>
      <c r="I52">
        <f t="shared" si="1"/>
        <v>0</v>
      </c>
    </row>
    <row r="53" spans="1:9">
      <c r="H53">
        <f t="shared" si="0"/>
        <v>0</v>
      </c>
      <c r="I53">
        <f t="shared" si="1"/>
        <v>0</v>
      </c>
    </row>
    <row r="54" spans="1:9">
      <c r="H54">
        <f t="shared" si="0"/>
        <v>0</v>
      </c>
      <c r="I54">
        <f t="shared" si="1"/>
        <v>0</v>
      </c>
    </row>
    <row r="55" spans="1:9">
      <c r="A55" t="s">
        <v>93</v>
      </c>
      <c r="B55" t="s">
        <v>104</v>
      </c>
      <c r="H55">
        <f t="shared" si="0"/>
        <v>0</v>
      </c>
      <c r="I55">
        <f t="shared" si="1"/>
        <v>0</v>
      </c>
    </row>
    <row r="56" spans="1:9">
      <c r="C56">
        <v>2</v>
      </c>
      <c r="D56">
        <f>B56*C56</f>
        <v>0</v>
      </c>
      <c r="H56">
        <f t="shared" si="0"/>
        <v>0</v>
      </c>
      <c r="I56">
        <f t="shared" si="1"/>
        <v>0</v>
      </c>
    </row>
    <row r="57" spans="1:9">
      <c r="C57">
        <v>2</v>
      </c>
      <c r="D57">
        <f>B57*C57</f>
        <v>0</v>
      </c>
      <c r="H57">
        <f t="shared" si="0"/>
        <v>0</v>
      </c>
      <c r="I57">
        <f t="shared" si="1"/>
        <v>0</v>
      </c>
    </row>
    <row r="58" spans="1:9">
      <c r="C58">
        <v>2</v>
      </c>
      <c r="D58">
        <f>B58*C58</f>
        <v>0</v>
      </c>
      <c r="H58">
        <f t="shared" si="0"/>
        <v>0</v>
      </c>
      <c r="I58">
        <f t="shared" si="1"/>
        <v>0</v>
      </c>
    </row>
    <row r="59" spans="1:9">
      <c r="H59">
        <f t="shared" si="0"/>
        <v>0</v>
      </c>
      <c r="I59">
        <f t="shared" si="1"/>
        <v>0</v>
      </c>
    </row>
    <row r="60" spans="1:9">
      <c r="H60">
        <f t="shared" si="0"/>
        <v>0</v>
      </c>
      <c r="I60">
        <f t="shared" si="1"/>
        <v>0</v>
      </c>
    </row>
    <row r="61" spans="1:9">
      <c r="H61">
        <f t="shared" si="0"/>
        <v>0</v>
      </c>
      <c r="I61">
        <f t="shared" si="1"/>
        <v>0</v>
      </c>
    </row>
    <row r="62" spans="1:9">
      <c r="H62">
        <f t="shared" si="0"/>
        <v>0</v>
      </c>
      <c r="I62">
        <f t="shared" si="1"/>
        <v>0</v>
      </c>
    </row>
    <row r="63" spans="1:9">
      <c r="A63" t="s">
        <v>94</v>
      </c>
      <c r="B63" t="s">
        <v>111</v>
      </c>
      <c r="H63">
        <f t="shared" si="0"/>
        <v>0</v>
      </c>
      <c r="I63">
        <f t="shared" si="1"/>
        <v>0</v>
      </c>
    </row>
    <row r="64" spans="1:9">
      <c r="C64">
        <v>4</v>
      </c>
      <c r="D64">
        <f>B64*C64</f>
        <v>0</v>
      </c>
      <c r="H64">
        <f t="shared" si="0"/>
        <v>0</v>
      </c>
      <c r="I64">
        <f t="shared" si="1"/>
        <v>0</v>
      </c>
    </row>
    <row r="65" spans="1:11">
      <c r="H65">
        <f t="shared" si="0"/>
        <v>0</v>
      </c>
      <c r="I65">
        <f t="shared" si="1"/>
        <v>0</v>
      </c>
    </row>
    <row r="66" spans="1:11">
      <c r="H66">
        <f t="shared" si="0"/>
        <v>0</v>
      </c>
      <c r="I66">
        <f t="shared" si="1"/>
        <v>0</v>
      </c>
    </row>
    <row r="67" spans="1:11">
      <c r="H67">
        <f t="shared" si="0"/>
        <v>0</v>
      </c>
      <c r="I67">
        <f t="shared" si="1"/>
        <v>0</v>
      </c>
    </row>
    <row r="68" spans="1:11">
      <c r="H68">
        <f t="shared" ref="H68:H131" si="3">0.004*(D68*G68^0.5/10+(2*(E68*F68)*G68^0.4/1000))*K68*100</f>
        <v>0</v>
      </c>
      <c r="I68">
        <f t="shared" ref="I68:I125" si="4">(800*D68*(G68^0.5))/10+(E68*F68*G68^0.7)/20</f>
        <v>0</v>
      </c>
    </row>
    <row r="69" spans="1:11">
      <c r="H69">
        <f t="shared" si="3"/>
        <v>0</v>
      </c>
      <c r="I69">
        <f t="shared" si="4"/>
        <v>0</v>
      </c>
    </row>
    <row r="70" spans="1:11">
      <c r="A70" t="s">
        <v>119</v>
      </c>
      <c r="H70">
        <f t="shared" si="3"/>
        <v>0</v>
      </c>
      <c r="I70">
        <f t="shared" si="4"/>
        <v>0</v>
      </c>
    </row>
    <row r="71" spans="1:11">
      <c r="A71" t="s">
        <v>120</v>
      </c>
      <c r="E71">
        <v>780</v>
      </c>
      <c r="F71">
        <v>100</v>
      </c>
      <c r="G71">
        <v>32</v>
      </c>
      <c r="H71">
        <f t="shared" si="3"/>
        <v>224.64000000000004</v>
      </c>
      <c r="I71">
        <f t="shared" si="4"/>
        <v>44123.463146040558</v>
      </c>
      <c r="J71">
        <v>1955</v>
      </c>
      <c r="K71">
        <v>0.9</v>
      </c>
    </row>
    <row r="72" spans="1:11">
      <c r="H72">
        <f t="shared" si="3"/>
        <v>0</v>
      </c>
      <c r="I72">
        <f t="shared" si="4"/>
        <v>0</v>
      </c>
    </row>
    <row r="73" spans="1:11">
      <c r="H73">
        <f t="shared" si="3"/>
        <v>0</v>
      </c>
      <c r="I73">
        <f t="shared" si="4"/>
        <v>0</v>
      </c>
    </row>
    <row r="74" spans="1:11">
      <c r="H74">
        <f t="shared" si="3"/>
        <v>0</v>
      </c>
      <c r="I74">
        <f t="shared" si="4"/>
        <v>0</v>
      </c>
    </row>
    <row r="75" spans="1:11">
      <c r="H75">
        <f t="shared" si="3"/>
        <v>0</v>
      </c>
      <c r="I75">
        <f t="shared" si="4"/>
        <v>0</v>
      </c>
    </row>
    <row r="76" spans="1:11">
      <c r="H76">
        <f t="shared" si="3"/>
        <v>0</v>
      </c>
      <c r="I76">
        <f t="shared" si="4"/>
        <v>0</v>
      </c>
    </row>
    <row r="77" spans="1:11">
      <c r="H77">
        <f t="shared" si="3"/>
        <v>0</v>
      </c>
      <c r="I77">
        <f t="shared" si="4"/>
        <v>0</v>
      </c>
    </row>
    <row r="78" spans="1:11">
      <c r="H78">
        <f t="shared" si="3"/>
        <v>0</v>
      </c>
      <c r="I78">
        <f t="shared" si="4"/>
        <v>0</v>
      </c>
    </row>
    <row r="79" spans="1:11">
      <c r="H79">
        <f t="shared" si="3"/>
        <v>0</v>
      </c>
      <c r="I79">
        <f t="shared" si="4"/>
        <v>0</v>
      </c>
    </row>
    <row r="80" spans="1:11">
      <c r="H80">
        <f t="shared" si="3"/>
        <v>0</v>
      </c>
      <c r="I80">
        <f t="shared" si="4"/>
        <v>0</v>
      </c>
    </row>
    <row r="81" spans="8:9">
      <c r="H81">
        <f t="shared" si="3"/>
        <v>0</v>
      </c>
      <c r="I81">
        <f t="shared" si="4"/>
        <v>0</v>
      </c>
    </row>
    <row r="82" spans="8:9">
      <c r="H82">
        <f t="shared" si="3"/>
        <v>0</v>
      </c>
      <c r="I82">
        <f t="shared" si="4"/>
        <v>0</v>
      </c>
    </row>
    <row r="83" spans="8:9">
      <c r="H83">
        <f t="shared" si="3"/>
        <v>0</v>
      </c>
      <c r="I83">
        <f t="shared" si="4"/>
        <v>0</v>
      </c>
    </row>
    <row r="84" spans="8:9">
      <c r="H84">
        <f t="shared" si="3"/>
        <v>0</v>
      </c>
      <c r="I84">
        <f t="shared" si="4"/>
        <v>0</v>
      </c>
    </row>
    <row r="85" spans="8:9">
      <c r="H85">
        <f t="shared" si="3"/>
        <v>0</v>
      </c>
      <c r="I85">
        <f t="shared" si="4"/>
        <v>0</v>
      </c>
    </row>
    <row r="86" spans="8:9">
      <c r="H86">
        <f t="shared" si="3"/>
        <v>0</v>
      </c>
      <c r="I86">
        <f t="shared" si="4"/>
        <v>0</v>
      </c>
    </row>
    <row r="87" spans="8:9">
      <c r="H87">
        <f t="shared" si="3"/>
        <v>0</v>
      </c>
      <c r="I87">
        <f t="shared" si="4"/>
        <v>0</v>
      </c>
    </row>
    <row r="88" spans="8:9">
      <c r="H88">
        <f t="shared" si="3"/>
        <v>0</v>
      </c>
      <c r="I88">
        <f t="shared" si="4"/>
        <v>0</v>
      </c>
    </row>
    <row r="89" spans="8:9">
      <c r="H89">
        <f t="shared" si="3"/>
        <v>0</v>
      </c>
      <c r="I89">
        <f t="shared" si="4"/>
        <v>0</v>
      </c>
    </row>
    <row r="90" spans="8:9">
      <c r="H90">
        <f t="shared" si="3"/>
        <v>0</v>
      </c>
      <c r="I90">
        <f t="shared" si="4"/>
        <v>0</v>
      </c>
    </row>
    <row r="91" spans="8:9">
      <c r="H91">
        <f t="shared" si="3"/>
        <v>0</v>
      </c>
      <c r="I91">
        <f t="shared" si="4"/>
        <v>0</v>
      </c>
    </row>
    <row r="92" spans="8:9">
      <c r="H92">
        <f t="shared" si="3"/>
        <v>0</v>
      </c>
      <c r="I92">
        <f t="shared" si="4"/>
        <v>0</v>
      </c>
    </row>
    <row r="93" spans="8:9">
      <c r="H93">
        <f t="shared" si="3"/>
        <v>0</v>
      </c>
      <c r="I93">
        <f t="shared" si="4"/>
        <v>0</v>
      </c>
    </row>
    <row r="94" spans="8:9">
      <c r="H94">
        <f t="shared" si="3"/>
        <v>0</v>
      </c>
      <c r="I94">
        <f t="shared" si="4"/>
        <v>0</v>
      </c>
    </row>
    <row r="95" spans="8:9">
      <c r="H95">
        <f t="shared" si="3"/>
        <v>0</v>
      </c>
      <c r="I95">
        <f t="shared" si="4"/>
        <v>0</v>
      </c>
    </row>
    <row r="96" spans="8:9">
      <c r="H96">
        <f t="shared" si="3"/>
        <v>0</v>
      </c>
      <c r="I96">
        <f t="shared" si="4"/>
        <v>0</v>
      </c>
    </row>
    <row r="97" spans="8:9">
      <c r="H97">
        <f t="shared" si="3"/>
        <v>0</v>
      </c>
      <c r="I97">
        <f t="shared" si="4"/>
        <v>0</v>
      </c>
    </row>
    <row r="98" spans="8:9">
      <c r="H98">
        <f t="shared" si="3"/>
        <v>0</v>
      </c>
      <c r="I98">
        <f t="shared" si="4"/>
        <v>0</v>
      </c>
    </row>
    <row r="99" spans="8:9">
      <c r="H99">
        <f t="shared" si="3"/>
        <v>0</v>
      </c>
      <c r="I99">
        <f t="shared" si="4"/>
        <v>0</v>
      </c>
    </row>
    <row r="100" spans="8:9">
      <c r="H100">
        <f t="shared" si="3"/>
        <v>0</v>
      </c>
      <c r="I100">
        <f t="shared" si="4"/>
        <v>0</v>
      </c>
    </row>
    <row r="101" spans="8:9">
      <c r="H101">
        <f t="shared" si="3"/>
        <v>0</v>
      </c>
      <c r="I101">
        <f t="shared" si="4"/>
        <v>0</v>
      </c>
    </row>
    <row r="102" spans="8:9">
      <c r="H102">
        <f t="shared" si="3"/>
        <v>0</v>
      </c>
      <c r="I102">
        <f t="shared" si="4"/>
        <v>0</v>
      </c>
    </row>
    <row r="103" spans="8:9">
      <c r="H103">
        <f t="shared" si="3"/>
        <v>0</v>
      </c>
      <c r="I103">
        <f t="shared" si="4"/>
        <v>0</v>
      </c>
    </row>
    <row r="104" spans="8:9">
      <c r="H104">
        <f t="shared" si="3"/>
        <v>0</v>
      </c>
      <c r="I104">
        <f t="shared" si="4"/>
        <v>0</v>
      </c>
    </row>
    <row r="105" spans="8:9">
      <c r="H105">
        <f t="shared" si="3"/>
        <v>0</v>
      </c>
      <c r="I105">
        <f t="shared" si="4"/>
        <v>0</v>
      </c>
    </row>
    <row r="106" spans="8:9">
      <c r="H106">
        <f t="shared" si="3"/>
        <v>0</v>
      </c>
      <c r="I106">
        <f t="shared" si="4"/>
        <v>0</v>
      </c>
    </row>
    <row r="107" spans="8:9">
      <c r="H107">
        <f t="shared" si="3"/>
        <v>0</v>
      </c>
      <c r="I107">
        <f t="shared" si="4"/>
        <v>0</v>
      </c>
    </row>
    <row r="108" spans="8:9">
      <c r="H108">
        <f t="shared" si="3"/>
        <v>0</v>
      </c>
      <c r="I108">
        <f t="shared" si="4"/>
        <v>0</v>
      </c>
    </row>
    <row r="109" spans="8:9">
      <c r="H109">
        <f t="shared" si="3"/>
        <v>0</v>
      </c>
      <c r="I109">
        <f t="shared" si="4"/>
        <v>0</v>
      </c>
    </row>
    <row r="110" spans="8:9">
      <c r="H110">
        <f t="shared" si="3"/>
        <v>0</v>
      </c>
      <c r="I110">
        <f t="shared" si="4"/>
        <v>0</v>
      </c>
    </row>
    <row r="111" spans="8:9">
      <c r="H111">
        <f t="shared" si="3"/>
        <v>0</v>
      </c>
      <c r="I111">
        <f t="shared" si="4"/>
        <v>0</v>
      </c>
    </row>
    <row r="112" spans="8:9">
      <c r="H112">
        <f t="shared" si="3"/>
        <v>0</v>
      </c>
      <c r="I112">
        <f t="shared" si="4"/>
        <v>0</v>
      </c>
    </row>
    <row r="113" spans="8:9">
      <c r="H113">
        <f t="shared" si="3"/>
        <v>0</v>
      </c>
      <c r="I113">
        <f t="shared" si="4"/>
        <v>0</v>
      </c>
    </row>
    <row r="114" spans="8:9">
      <c r="H114">
        <f t="shared" si="3"/>
        <v>0</v>
      </c>
      <c r="I114">
        <f t="shared" si="4"/>
        <v>0</v>
      </c>
    </row>
    <row r="115" spans="8:9">
      <c r="H115">
        <f t="shared" si="3"/>
        <v>0</v>
      </c>
      <c r="I115">
        <f t="shared" si="4"/>
        <v>0</v>
      </c>
    </row>
    <row r="116" spans="8:9">
      <c r="H116">
        <f t="shared" si="3"/>
        <v>0</v>
      </c>
      <c r="I116">
        <f t="shared" si="4"/>
        <v>0</v>
      </c>
    </row>
    <row r="117" spans="8:9">
      <c r="H117">
        <f t="shared" si="3"/>
        <v>0</v>
      </c>
      <c r="I117">
        <f t="shared" si="4"/>
        <v>0</v>
      </c>
    </row>
    <row r="118" spans="8:9">
      <c r="H118">
        <f t="shared" si="3"/>
        <v>0</v>
      </c>
      <c r="I118">
        <f t="shared" si="4"/>
        <v>0</v>
      </c>
    </row>
    <row r="119" spans="8:9">
      <c r="H119">
        <f t="shared" si="3"/>
        <v>0</v>
      </c>
      <c r="I119">
        <f t="shared" si="4"/>
        <v>0</v>
      </c>
    </row>
    <row r="120" spans="8:9">
      <c r="H120">
        <f t="shared" si="3"/>
        <v>0</v>
      </c>
      <c r="I120">
        <f t="shared" si="4"/>
        <v>0</v>
      </c>
    </row>
    <row r="121" spans="8:9">
      <c r="H121">
        <f t="shared" si="3"/>
        <v>0</v>
      </c>
      <c r="I121">
        <f t="shared" si="4"/>
        <v>0</v>
      </c>
    </row>
    <row r="122" spans="8:9">
      <c r="H122">
        <f t="shared" si="3"/>
        <v>0</v>
      </c>
      <c r="I122">
        <f t="shared" si="4"/>
        <v>0</v>
      </c>
    </row>
    <row r="123" spans="8:9">
      <c r="H123">
        <f t="shared" si="3"/>
        <v>0</v>
      </c>
      <c r="I123">
        <f t="shared" si="4"/>
        <v>0</v>
      </c>
    </row>
    <row r="124" spans="8:9">
      <c r="H124">
        <f t="shared" si="3"/>
        <v>0</v>
      </c>
      <c r="I124">
        <f t="shared" si="4"/>
        <v>0</v>
      </c>
    </row>
    <row r="125" spans="8:9">
      <c r="H125">
        <f t="shared" si="3"/>
        <v>0</v>
      </c>
      <c r="I125">
        <f t="shared" si="4"/>
        <v>0</v>
      </c>
    </row>
    <row r="126" spans="8:9">
      <c r="H126">
        <f t="shared" si="3"/>
        <v>0</v>
      </c>
    </row>
    <row r="127" spans="8:9">
      <c r="H127">
        <f t="shared" si="3"/>
        <v>0</v>
      </c>
    </row>
    <row r="128" spans="8:9">
      <c r="H128">
        <f t="shared" si="3"/>
        <v>0</v>
      </c>
    </row>
    <row r="129" spans="8:9">
      <c r="H129">
        <f t="shared" si="3"/>
        <v>0</v>
      </c>
    </row>
    <row r="130" spans="8:9">
      <c r="H130">
        <f t="shared" si="3"/>
        <v>0</v>
      </c>
    </row>
    <row r="131" spans="8:9">
      <c r="H131">
        <f t="shared" si="3"/>
        <v>0</v>
      </c>
    </row>
    <row r="132" spans="8:9">
      <c r="H132">
        <f>0.004*(D132*G132^0.5/10+(2*(E132*F132)*G132^0.4/1000))*K132*100</f>
        <v>0</v>
      </c>
    </row>
    <row r="133" spans="8:9">
      <c r="H133">
        <f>0.004*(D133*G133^0.5/10+(2*(E133*F133)*G133^0.4/1000))*K133*100</f>
        <v>0</v>
      </c>
    </row>
    <row r="134" spans="8:9">
      <c r="H134">
        <f>0.004*(D134*G134^0.5/10+(2*(E134*F134)*G134^0.4/1000))*K134*100</f>
        <v>0</v>
      </c>
    </row>
    <row r="135" spans="8:9">
      <c r="H135">
        <f>0.004*(D135*G135^0.5/10+(2*(E135*F135)*G135^0.4/1000))*K135*100</f>
        <v>0</v>
      </c>
    </row>
    <row r="136" spans="8:9">
      <c r="H136">
        <f>0.004*(D136*G136^0.5/10+(2*(E136*F136)*G136^0.4/1000))*K136*100</f>
        <v>0</v>
      </c>
    </row>
    <row r="139" spans="8:9">
      <c r="H139">
        <f>0.004*(D139*G139^0.5/10+((E139*F139)*G139^0.4/1000))*K139*100</f>
        <v>0</v>
      </c>
      <c r="I139">
        <f>(800*D139*(G139^0.5))/10+(E139*F139*G139^0.7)/20</f>
        <v>0</v>
      </c>
    </row>
  </sheetData>
  <phoneticPr fontId="1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B9DC-A15B-4F60-83EA-7419A21A464D}">
  <dimension ref="A1:C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.75"/>
  <cols>
    <col min="1" max="1" width="12.875" style="1" bestFit="1" customWidth="1"/>
    <col min="2" max="2" width="13" style="1" bestFit="1" customWidth="1"/>
    <col min="3" max="3" width="6.5" style="1" bestFit="1" customWidth="1"/>
    <col min="4" max="16384" width="9" style="1"/>
  </cols>
  <sheetData>
    <row r="1" spans="1:3">
      <c r="A1" s="1" t="s">
        <v>131</v>
      </c>
      <c r="B1" s="1" t="s">
        <v>128</v>
      </c>
      <c r="C1" s="1" t="s">
        <v>55</v>
      </c>
    </row>
    <row r="2" spans="1:3">
      <c r="A2" s="1">
        <v>0</v>
      </c>
      <c r="B2" s="1" t="s">
        <v>135</v>
      </c>
      <c r="C2" s="1">
        <v>1</v>
      </c>
    </row>
    <row r="3" spans="1:3">
      <c r="A3" s="1">
        <v>0</v>
      </c>
      <c r="B3" s="1" t="s">
        <v>142</v>
      </c>
      <c r="C3" s="1">
        <v>10</v>
      </c>
    </row>
    <row r="4" spans="1:3">
      <c r="A4" s="1">
        <v>0</v>
      </c>
      <c r="B4" s="1" t="s">
        <v>143</v>
      </c>
      <c r="C4" s="1">
        <v>14</v>
      </c>
    </row>
    <row r="6" spans="1:3">
      <c r="A6" s="1">
        <v>11</v>
      </c>
      <c r="B6" s="1" t="s">
        <v>69</v>
      </c>
      <c r="C6" s="1">
        <v>12</v>
      </c>
    </row>
    <row r="7" spans="1:3">
      <c r="A7" s="1">
        <v>12</v>
      </c>
      <c r="B7" s="1" t="s">
        <v>129</v>
      </c>
      <c r="C7" s="1">
        <f>C$6+2</f>
        <v>14</v>
      </c>
    </row>
    <row r="8" spans="1:3">
      <c r="A8" s="1">
        <v>13</v>
      </c>
      <c r="B8" s="1" t="s">
        <v>130</v>
      </c>
      <c r="C8" s="1">
        <f>C$6+4</f>
        <v>16</v>
      </c>
    </row>
    <row r="9" spans="1:3">
      <c r="A9" s="1">
        <v>14</v>
      </c>
      <c r="B9" s="1" t="s">
        <v>140</v>
      </c>
      <c r="C9" s="1">
        <v>1.53</v>
      </c>
    </row>
    <row r="11" spans="1:3">
      <c r="A11" s="1">
        <v>21</v>
      </c>
      <c r="B11" s="1" t="s">
        <v>71</v>
      </c>
      <c r="C11" s="1">
        <v>14</v>
      </c>
    </row>
    <row r="12" spans="1:3">
      <c r="A12" s="1">
        <v>22</v>
      </c>
      <c r="B12" s="1" t="s">
        <v>137</v>
      </c>
      <c r="C12" s="1">
        <v>10.77</v>
      </c>
    </row>
    <row r="13" spans="1:3">
      <c r="A13" s="1">
        <v>23</v>
      </c>
      <c r="B13" s="1" t="s">
        <v>138</v>
      </c>
      <c r="C13" s="1">
        <v>3.93</v>
      </c>
    </row>
    <row r="14" spans="1:3">
      <c r="A14" s="1">
        <v>24</v>
      </c>
      <c r="B14" s="1" t="s">
        <v>134</v>
      </c>
      <c r="C14" s="1">
        <v>14</v>
      </c>
    </row>
    <row r="15" spans="1:3">
      <c r="A15" s="1">
        <v>25</v>
      </c>
      <c r="B15" s="1" t="s">
        <v>139</v>
      </c>
      <c r="C15" s="1">
        <v>14</v>
      </c>
    </row>
    <row r="17" spans="1:3">
      <c r="A17" s="1">
        <v>31</v>
      </c>
      <c r="B17" s="1" t="s">
        <v>132</v>
      </c>
      <c r="C17" s="1">
        <v>14</v>
      </c>
    </row>
    <row r="18" spans="1:3">
      <c r="A18" s="1">
        <v>32</v>
      </c>
      <c r="B18" s="1" t="s">
        <v>133</v>
      </c>
      <c r="C18" s="1">
        <v>14</v>
      </c>
    </row>
  </sheetData>
  <phoneticPr fontI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電車</vt:lpstr>
      <vt:lpstr>気動車</vt:lpstr>
      <vt:lpstr>客車</vt:lpstr>
      <vt:lpstr>貨車</vt:lpstr>
      <vt:lpstr>機関車</vt:lpstr>
      <vt:lpstr>モノレール</vt:lpstr>
      <vt:lpstr>旅客自動車</vt:lpstr>
      <vt:lpstr>貨物自動車</vt:lpstr>
      <vt:lpstr>旅客船</vt:lpstr>
      <vt:lpstr>貨物船</vt:lpstr>
      <vt:lpstr>貨物係数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林田光惺</dc:creator>
  <cp:lastModifiedBy>光惺 林田</cp:lastModifiedBy>
  <dcterms:created xsi:type="dcterms:W3CDTF">2006-10-08T16:50:37Z</dcterms:created>
  <dcterms:modified xsi:type="dcterms:W3CDTF">2026-10-17T06:57:26Z</dcterms:modified>
</cp:coreProperties>
</file>