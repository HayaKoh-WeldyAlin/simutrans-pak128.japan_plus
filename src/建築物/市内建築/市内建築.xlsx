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kyont\private\WeldyAlin\ゲーム開発系\simutrans\128japan+\src\建築物\市内建築\"/>
    </mc:Choice>
  </mc:AlternateContent>
  <xr:revisionPtr revIDLastSave="0" documentId="13_ncr:1_{65BE9693-1C8E-4A20-B3AB-E19ED6454FAD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128jp" sheetId="1" r:id="rId1"/>
    <sheet name="713様" sheetId="5" r:id="rId2"/>
    <sheet name="ウィルソン様" sheetId="6" r:id="rId3"/>
    <sheet name="内部名" sheetId="2" r:id="rId4"/>
  </sheets>
  <definedNames>
    <definedName name="_xlnm._FilterDatabase" localSheetId="0" hidden="1">'128jp'!$A$1:$R$43</definedName>
    <definedName name="_xlnm._FilterDatabase" localSheetId="1" hidden="1">'713様'!$A$1:$R$6</definedName>
    <definedName name="_xlnm._FilterDatabase" localSheetId="2" hidden="1">ウィルソン様!$A$1:$R$4</definedName>
    <definedName name="_xlnm._FilterDatabase" localSheetId="3" hidden="1">内部名!$A$1:$C$8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8" i="6" l="1"/>
  <c r="C28" i="6"/>
  <c r="R28" i="6" s="1"/>
  <c r="Q27" i="6"/>
  <c r="C27" i="6"/>
  <c r="Q26" i="6"/>
  <c r="C26" i="6"/>
  <c r="R26" i="6" s="1"/>
  <c r="Q25" i="6"/>
  <c r="C25" i="6"/>
  <c r="R25" i="6" s="1"/>
  <c r="Q24" i="6"/>
  <c r="C24" i="6"/>
  <c r="R24" i="6" s="1"/>
  <c r="Q23" i="6"/>
  <c r="C23" i="6"/>
  <c r="R23" i="6" s="1"/>
  <c r="Q19" i="6"/>
  <c r="C19" i="6"/>
  <c r="R19" i="6" s="1"/>
  <c r="Q18" i="6"/>
  <c r="C18" i="6"/>
  <c r="Q17" i="6"/>
  <c r="C17" i="6"/>
  <c r="R17" i="6" s="1"/>
  <c r="Q16" i="6"/>
  <c r="C16" i="6"/>
  <c r="R16" i="6" s="1"/>
  <c r="Q15" i="6"/>
  <c r="C15" i="6"/>
  <c r="R15" i="6" s="1"/>
  <c r="Q14" i="6"/>
  <c r="C14" i="6"/>
  <c r="R14" i="6" s="1"/>
  <c r="Q5" i="6"/>
  <c r="Q6" i="6"/>
  <c r="Q7" i="6"/>
  <c r="Q8" i="6"/>
  <c r="Q9" i="6"/>
  <c r="Q10" i="6"/>
  <c r="C5" i="6"/>
  <c r="C6" i="6"/>
  <c r="C7" i="6"/>
  <c r="C8" i="6"/>
  <c r="C9" i="6"/>
  <c r="C10" i="6"/>
  <c r="Q2" i="5"/>
  <c r="C2" i="5"/>
  <c r="Q22" i="6"/>
  <c r="C22" i="6"/>
  <c r="R22" i="6" s="1"/>
  <c r="Q13" i="6"/>
  <c r="C13" i="6"/>
  <c r="Q4" i="6"/>
  <c r="C4" i="6"/>
  <c r="R4" i="6" s="1"/>
  <c r="Q21" i="6"/>
  <c r="C21" i="6"/>
  <c r="R21" i="6" s="1"/>
  <c r="Q12" i="6"/>
  <c r="C12" i="6"/>
  <c r="Q3" i="6"/>
  <c r="C3" i="6"/>
  <c r="Q11" i="6"/>
  <c r="C11" i="6"/>
  <c r="Q2" i="6"/>
  <c r="C2" i="6"/>
  <c r="R2" i="6" s="1"/>
  <c r="Q20" i="6"/>
  <c r="C20" i="6"/>
  <c r="R20" i="6" s="1"/>
  <c r="C34" i="1"/>
  <c r="Q7" i="1"/>
  <c r="C7" i="1"/>
  <c r="Q6" i="1"/>
  <c r="C6" i="1"/>
  <c r="R6" i="1" s="1"/>
  <c r="Q5" i="1"/>
  <c r="C5" i="1"/>
  <c r="Q4" i="1"/>
  <c r="C4" i="1"/>
  <c r="Q30" i="1"/>
  <c r="C30" i="1"/>
  <c r="C28" i="1"/>
  <c r="Q28" i="1"/>
  <c r="C29" i="1"/>
  <c r="Q29" i="1"/>
  <c r="C23" i="1"/>
  <c r="Q23" i="1"/>
  <c r="C27" i="1"/>
  <c r="Q27" i="1"/>
  <c r="C31" i="1"/>
  <c r="Q31" i="1"/>
  <c r="C32" i="1"/>
  <c r="Q32" i="1"/>
  <c r="Q34" i="1"/>
  <c r="C35" i="1"/>
  <c r="Q35" i="1"/>
  <c r="C36" i="1"/>
  <c r="Q36" i="1"/>
  <c r="C37" i="1"/>
  <c r="Q37" i="1"/>
  <c r="C38" i="1"/>
  <c r="Q38" i="1"/>
  <c r="C39" i="1"/>
  <c r="Q39" i="1"/>
  <c r="Q3" i="1"/>
  <c r="C3" i="1"/>
  <c r="R3" i="1" s="1"/>
  <c r="Q8" i="1"/>
  <c r="Q9" i="1"/>
  <c r="Q10" i="1"/>
  <c r="Q11" i="1"/>
  <c r="Q24" i="1"/>
  <c r="Q25" i="1"/>
  <c r="Q26" i="1"/>
  <c r="Q12" i="1"/>
  <c r="Q13" i="1"/>
  <c r="Q14" i="1"/>
  <c r="Q15" i="1"/>
  <c r="Q16" i="1"/>
  <c r="Q17" i="1"/>
  <c r="Q19" i="1"/>
  <c r="Q20" i="1"/>
  <c r="Q21" i="1"/>
  <c r="Q22" i="1"/>
  <c r="Q18" i="1"/>
  <c r="Q33" i="1"/>
  <c r="Q40" i="1"/>
  <c r="Q41" i="1"/>
  <c r="Q42" i="1"/>
  <c r="Q43" i="1"/>
  <c r="Q2" i="1"/>
  <c r="Q6" i="5"/>
  <c r="Q4" i="5"/>
  <c r="Q5" i="5"/>
  <c r="Q7" i="5"/>
  <c r="Q3" i="5"/>
  <c r="C3" i="5"/>
  <c r="C6" i="5"/>
  <c r="C4" i="5"/>
  <c r="C7" i="5"/>
  <c r="C5" i="5"/>
  <c r="C41" i="1"/>
  <c r="C42" i="1"/>
  <c r="C43" i="1"/>
  <c r="C40" i="1"/>
  <c r="C21" i="1"/>
  <c r="C22" i="1"/>
  <c r="C18" i="1"/>
  <c r="C33" i="1"/>
  <c r="C16" i="1"/>
  <c r="C17" i="1"/>
  <c r="C8" i="1"/>
  <c r="C9" i="1"/>
  <c r="C10" i="1"/>
  <c r="C11" i="1"/>
  <c r="C12" i="1"/>
  <c r="C13" i="1"/>
  <c r="C24" i="1"/>
  <c r="C14" i="1"/>
  <c r="C15" i="1"/>
  <c r="C25" i="1"/>
  <c r="C26" i="1"/>
  <c r="C19" i="1"/>
  <c r="C20" i="1"/>
  <c r="C2" i="1"/>
  <c r="R10" i="6" l="1"/>
  <c r="R9" i="6"/>
  <c r="R8" i="6"/>
  <c r="R27" i="6"/>
  <c r="R6" i="6"/>
  <c r="R7" i="6"/>
  <c r="R5" i="6"/>
  <c r="R18" i="6"/>
  <c r="R3" i="6"/>
  <c r="R11" i="6"/>
  <c r="R13" i="6"/>
  <c r="R12" i="6"/>
  <c r="R5" i="5"/>
  <c r="R3" i="5"/>
  <c r="R2" i="5"/>
  <c r="R30" i="1"/>
  <c r="R7" i="1"/>
  <c r="R5" i="1"/>
  <c r="R4" i="1"/>
  <c r="R39" i="1"/>
  <c r="R38" i="1"/>
  <c r="R36" i="1"/>
  <c r="R35" i="1"/>
  <c r="R34" i="1"/>
  <c r="R37" i="1"/>
  <c r="R32" i="1"/>
  <c r="R31" i="1"/>
  <c r="R27" i="1"/>
  <c r="R29" i="1"/>
  <c r="R23" i="1"/>
  <c r="R28" i="1"/>
  <c r="R4" i="5"/>
  <c r="R7" i="5"/>
  <c r="R6" i="5"/>
  <c r="R10" i="1"/>
  <c r="R42" i="1"/>
  <c r="R43" i="1"/>
  <c r="R41" i="1"/>
  <c r="R40" i="1"/>
  <c r="R11" i="1"/>
  <c r="R8" i="1"/>
  <c r="R18" i="1"/>
  <c r="R22" i="1"/>
  <c r="R21" i="1"/>
  <c r="R33" i="1"/>
  <c r="R9" i="1"/>
  <c r="R12" i="1"/>
  <c r="R16" i="1"/>
  <c r="R17" i="1"/>
  <c r="R14" i="1"/>
  <c r="R20" i="1"/>
  <c r="R19" i="1"/>
  <c r="R24" i="1"/>
  <c r="R15" i="1"/>
  <c r="R26" i="1"/>
  <c r="R25" i="1"/>
  <c r="R13" i="1"/>
  <c r="R2" i="1"/>
</calcChain>
</file>

<file path=xl/sharedStrings.xml><?xml version="1.0" encoding="utf-8"?>
<sst xmlns="http://schemas.openxmlformats.org/spreadsheetml/2006/main" count="296" uniqueCount="108">
  <si>
    <t>種別</t>
    <rPh sb="0" eb="2">
      <t>シュベツ</t>
    </rPh>
    <phoneticPr fontId="1"/>
  </si>
  <si>
    <t>res</t>
    <phoneticPr fontId="1"/>
  </si>
  <si>
    <t>1棟あたり
住民数</t>
    <rPh sb="1" eb="2">
      <t>ムネ</t>
    </rPh>
    <rPh sb="6" eb="9">
      <t>ジュウミンスウ</t>
    </rPh>
    <phoneticPr fontId="1"/>
  </si>
  <si>
    <t>1部屋あたり
住民数</t>
    <rPh sb="1" eb="3">
      <t>ヘヤ</t>
    </rPh>
    <rPh sb="7" eb="10">
      <t>ジュウミンスウ</t>
    </rPh>
    <phoneticPr fontId="1"/>
  </si>
  <si>
    <t>一戸建て
住宅数</t>
    <rPh sb="0" eb="3">
      <t>イッコダ</t>
    </rPh>
    <rPh sb="5" eb="7">
      <t>ジュウタク</t>
    </rPh>
    <rPh sb="7" eb="8">
      <t>スウ</t>
    </rPh>
    <phoneticPr fontId="1"/>
  </si>
  <si>
    <t>集合住宅
部屋数</t>
    <rPh sb="0" eb="4">
      <t>シュウゴウジュウタク</t>
    </rPh>
    <rPh sb="5" eb="8">
      <t>ヘヤスウ</t>
    </rPh>
    <phoneticPr fontId="1"/>
  </si>
  <si>
    <t>店舗数</t>
    <rPh sb="0" eb="3">
      <t>テンポスウ</t>
    </rPh>
    <phoneticPr fontId="1"/>
  </si>
  <si>
    <t>1店舗あたり
従業員数</t>
    <rPh sb="1" eb="3">
      <t>テンポ</t>
    </rPh>
    <rPh sb="7" eb="11">
      <t>ジュウギョウインスウ</t>
    </rPh>
    <phoneticPr fontId="1"/>
  </si>
  <si>
    <t>定数</t>
    <rPh sb="0" eb="2">
      <t>テイスウ</t>
    </rPh>
    <phoneticPr fontId="1"/>
  </si>
  <si>
    <t>Level</t>
    <phoneticPr fontId="1"/>
  </si>
  <si>
    <t>内部名</t>
    <rPh sb="0" eb="2">
      <t>ナイブ</t>
    </rPh>
    <rPh sb="2" eb="3">
      <t>メイ</t>
    </rPh>
    <phoneticPr fontId="1"/>
  </si>
  <si>
    <t>完全な内部名</t>
    <rPh sb="0" eb="2">
      <t>カンゼン</t>
    </rPh>
    <rPh sb="3" eb="5">
      <t>ナイブ</t>
    </rPh>
    <rPh sb="5" eb="6">
      <t>メイ</t>
    </rPh>
    <phoneticPr fontId="1"/>
  </si>
  <si>
    <t>A</t>
    <phoneticPr fontId="1"/>
  </si>
  <si>
    <t>B</t>
    <phoneticPr fontId="1"/>
  </si>
  <si>
    <t>縦幅</t>
    <rPh sb="0" eb="1">
      <t>タテ</t>
    </rPh>
    <rPh sb="1" eb="2">
      <t>ハバ</t>
    </rPh>
    <phoneticPr fontId="1"/>
  </si>
  <si>
    <t>横幅</t>
    <rPh sb="0" eb="2">
      <t>ヨコハバ</t>
    </rPh>
    <phoneticPr fontId="1"/>
  </si>
  <si>
    <t>記号</t>
    <rPh sb="0" eb="2">
      <t>キゴウ</t>
    </rPh>
    <phoneticPr fontId="1"/>
  </si>
  <si>
    <t>ビル
階層数</t>
    <rPh sb="3" eb="6">
      <t>カイソウスウ</t>
    </rPh>
    <phoneticPr fontId="1"/>
  </si>
  <si>
    <t>1階あたり
住民/従業員数</t>
    <rPh sb="1" eb="2">
      <t>カイ</t>
    </rPh>
    <rPh sb="6" eb="8">
      <t>ジュウミン</t>
    </rPh>
    <rPh sb="9" eb="13">
      <t>ジュウギョウインスウ</t>
    </rPh>
    <phoneticPr fontId="1"/>
  </si>
  <si>
    <t>Hochhaus</t>
    <phoneticPr fontId="1"/>
  </si>
  <si>
    <t>com</t>
    <phoneticPr fontId="1"/>
  </si>
  <si>
    <t>ind</t>
    <phoneticPr fontId="1"/>
  </si>
  <si>
    <t>店舗/工場数</t>
    <rPh sb="0" eb="2">
      <t>テンポ</t>
    </rPh>
    <rPh sb="3" eb="5">
      <t>コウジョウ</t>
    </rPh>
    <rPh sb="5" eb="6">
      <t>スウ</t>
    </rPh>
    <phoneticPr fontId="1"/>
  </si>
  <si>
    <t>1店舗/工場あたり
従業員数</t>
    <rPh sb="1" eb="3">
      <t>テンポ</t>
    </rPh>
    <rPh sb="4" eb="6">
      <t>コウジョウ</t>
    </rPh>
    <rPh sb="10" eb="14">
      <t>ジュウギョウインスウ</t>
    </rPh>
    <phoneticPr fontId="1"/>
  </si>
  <si>
    <t>主要クラスタ</t>
    <rPh sb="0" eb="2">
      <t>シュヨウ</t>
    </rPh>
    <phoneticPr fontId="1"/>
  </si>
  <si>
    <t>Landwirtschaftliche</t>
  </si>
  <si>
    <t>Wohnsiedlung</t>
  </si>
  <si>
    <t>NiedrigesGebaeude</t>
    <phoneticPr fontId="1"/>
  </si>
  <si>
    <t>MittlererGebaeude</t>
    <phoneticPr fontId="1"/>
  </si>
  <si>
    <t>MittlererParzelle</t>
    <phoneticPr fontId="1"/>
  </si>
  <si>
    <t>NiedrigesParzelle</t>
    <phoneticPr fontId="1"/>
  </si>
  <si>
    <t>画像</t>
    <rPh sb="0" eb="2">
      <t>ガゾウ</t>
    </rPh>
    <phoneticPr fontId="1"/>
  </si>
  <si>
    <t>RES_32_01D</t>
    <phoneticPr fontId="1"/>
  </si>
  <si>
    <t>RES_31_01B</t>
    <phoneticPr fontId="1"/>
  </si>
  <si>
    <t>日本語訳</t>
    <rPh sb="0" eb="4">
      <t>ニホンゴヤク</t>
    </rPh>
    <phoneticPr fontId="1"/>
  </si>
  <si>
    <t>農業的</t>
    <rPh sb="0" eb="2">
      <t>ノウギョウ</t>
    </rPh>
    <rPh sb="2" eb="3">
      <t>テキ</t>
    </rPh>
    <phoneticPr fontId="1"/>
  </si>
  <si>
    <t>低層建物</t>
    <rPh sb="0" eb="2">
      <t>テイソウ</t>
    </rPh>
    <rPh sb="2" eb="4">
      <t>タテモノ</t>
    </rPh>
    <phoneticPr fontId="1"/>
  </si>
  <si>
    <t>団地</t>
    <rPh sb="0" eb="2">
      <t>ダンチ</t>
    </rPh>
    <phoneticPr fontId="1"/>
  </si>
  <si>
    <t>低層区画</t>
    <rPh sb="0" eb="2">
      <t>テイソウ</t>
    </rPh>
    <rPh sb="2" eb="4">
      <t>クカク</t>
    </rPh>
    <phoneticPr fontId="1"/>
  </si>
  <si>
    <t>中層区画</t>
    <rPh sb="0" eb="2">
      <t>チュウソウ</t>
    </rPh>
    <rPh sb="2" eb="4">
      <t>クカク</t>
    </rPh>
    <phoneticPr fontId="1"/>
  </si>
  <si>
    <t>高層ビル</t>
    <rPh sb="0" eb="2">
      <t>コウソウ</t>
    </rPh>
    <phoneticPr fontId="1"/>
  </si>
  <si>
    <t>RES_31_01A</t>
    <phoneticPr fontId="1"/>
  </si>
  <si>
    <t>RES_31_01C</t>
    <phoneticPr fontId="1"/>
  </si>
  <si>
    <t>res.hru01</t>
    <phoneticPr fontId="1"/>
  </si>
  <si>
    <t>RES_31_02B</t>
    <phoneticPr fontId="1"/>
  </si>
  <si>
    <t>RES_31_02C</t>
  </si>
  <si>
    <t>RES_31_02D</t>
    <phoneticPr fontId="1"/>
  </si>
  <si>
    <t>RES_31_06A</t>
  </si>
  <si>
    <t>RES_31_06B</t>
    <phoneticPr fontId="1"/>
  </si>
  <si>
    <t>RES_31_05</t>
    <phoneticPr fontId="1"/>
  </si>
  <si>
    <t>RES_31_02A</t>
  </si>
  <si>
    <t>RES_31_08</t>
    <phoneticPr fontId="1"/>
  </si>
  <si>
    <t>COM_31_06</t>
  </si>
  <si>
    <t>RES_31_07</t>
  </si>
  <si>
    <t>RES_31_11</t>
    <phoneticPr fontId="1"/>
  </si>
  <si>
    <t>COM_31_11</t>
  </si>
  <si>
    <t>RES_31_09</t>
    <phoneticPr fontId="1"/>
  </si>
  <si>
    <t>RES_31_13</t>
  </si>
  <si>
    <t>RES_31_16</t>
  </si>
  <si>
    <t>RES_31_10</t>
  </si>
  <si>
    <t>RES_31_21</t>
  </si>
  <si>
    <t>中層ビル</t>
    <rPh sb="0" eb="2">
      <t>チュウソウ</t>
    </rPh>
    <phoneticPr fontId="1"/>
  </si>
  <si>
    <t>RES_31_85</t>
  </si>
  <si>
    <t>RES_31_35</t>
  </si>
  <si>
    <t>RES_31_55</t>
  </si>
  <si>
    <t>RES_31_90</t>
  </si>
  <si>
    <t>COM_31_09</t>
  </si>
  <si>
    <t>COM_31_03</t>
  </si>
  <si>
    <t>COM_31_10</t>
  </si>
  <si>
    <t>COM_31_05A</t>
  </si>
  <si>
    <t>COM_31_55</t>
  </si>
  <si>
    <t>COM_31_14</t>
    <phoneticPr fontId="1"/>
  </si>
  <si>
    <t>com.hru_01</t>
    <phoneticPr fontId="1"/>
  </si>
  <si>
    <t>COM_31_15</t>
  </si>
  <si>
    <t>COM_31_62</t>
  </si>
  <si>
    <t>COM_31_85</t>
  </si>
  <si>
    <t>COM_31_90</t>
  </si>
  <si>
    <t>COM_31_95</t>
    <phoneticPr fontId="1"/>
  </si>
  <si>
    <t>IND_31_07</t>
    <phoneticPr fontId="1"/>
  </si>
  <si>
    <t>IND_31_04</t>
  </si>
  <si>
    <t>IND_31_06</t>
  </si>
  <si>
    <t>IND_31_09</t>
    <phoneticPr fontId="1"/>
  </si>
  <si>
    <t>tanbo1x1</t>
  </si>
  <si>
    <t>com</t>
  </si>
  <si>
    <t>ind</t>
  </si>
  <si>
    <t>hatake1x1</t>
  </si>
  <si>
    <t>tanbokyu1x1</t>
  </si>
  <si>
    <t>C</t>
    <phoneticPr fontId="1"/>
  </si>
  <si>
    <t>danchiC</t>
  </si>
  <si>
    <t>danchiA</t>
  </si>
  <si>
    <t>danchiE</t>
  </si>
  <si>
    <t>danchiD</t>
  </si>
  <si>
    <t>danchiB</t>
  </si>
  <si>
    <t>gokurakuyu</t>
    <phoneticPr fontId="1"/>
  </si>
  <si>
    <t>A</t>
    <phoneticPr fontId="1"/>
  </si>
  <si>
    <t>com</t>
    <phoneticPr fontId="1"/>
  </si>
  <si>
    <t>tanbo1x2</t>
    <phoneticPr fontId="1"/>
  </si>
  <si>
    <t>hatake1x2</t>
    <phoneticPr fontId="1"/>
  </si>
  <si>
    <t>tanbokyu1x2</t>
    <phoneticPr fontId="1"/>
  </si>
  <si>
    <t>tanbo2x2</t>
    <phoneticPr fontId="1"/>
  </si>
  <si>
    <t>hatake2x2</t>
    <phoneticPr fontId="1"/>
  </si>
  <si>
    <t>tanbokyu2x2</t>
    <phoneticPr fontId="1"/>
  </si>
  <si>
    <t>D</t>
    <phoneticPr fontId="1"/>
  </si>
  <si>
    <t>E</t>
    <phoneticPr fontId="1"/>
  </si>
  <si>
    <t>F</t>
    <phoneticPr fontId="1"/>
  </si>
  <si>
    <t>G</t>
    <phoneticPr fontId="1"/>
  </si>
  <si>
    <t>H</t>
    <phoneticPr fontId="1"/>
  </si>
  <si>
    <t>I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</si>
</sst>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5" xfId="0" applyBorder="1" applyAlignment="1">
      <alignment wrapText="1"/>
    </xf>
    <xf numFmtId="0" fontId="0" fillId="0" borderId="4" xfId="0" applyBorder="1"/>
    <xf numFmtId="0" fontId="0" fillId="0" borderId="3" xfId="0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"/>
  <sheetViews>
    <sheetView workbookViewId="0">
      <pane xSplit="3" ySplit="1" topLeftCell="D2" activePane="bottomRight" state="frozen"/>
      <selection pane="topRight" activeCell="C1" sqref="C1"/>
      <selection pane="bottomLeft" activeCell="A2" sqref="A2"/>
      <selection pane="bottomRight"/>
    </sheetView>
  </sheetViews>
  <sheetFormatPr defaultRowHeight="18.75"/>
  <cols>
    <col min="1" max="1" width="13.5" bestFit="1" customWidth="1"/>
    <col min="2" max="2" width="13" bestFit="1" customWidth="1"/>
    <col min="3" max="3" width="21.875" bestFit="1" customWidth="1"/>
    <col min="4" max="7" width="5.25" bestFit="1" customWidth="1"/>
    <col min="8" max="8" width="9" style="5"/>
    <col min="9" max="9" width="10" bestFit="1" customWidth="1"/>
    <col min="11" max="11" width="12.125" bestFit="1" customWidth="1"/>
    <col min="12" max="12" width="11.875" bestFit="1" customWidth="1"/>
    <col min="13" max="13" width="17.25" bestFit="1" customWidth="1"/>
    <col min="14" max="14" width="8.875" bestFit="1" customWidth="1"/>
    <col min="15" max="15" width="14" bestFit="1" customWidth="1"/>
    <col min="16" max="16" width="5.25" style="3" bestFit="1" customWidth="1"/>
    <col min="17" max="17" width="6" bestFit="1" customWidth="1"/>
    <col min="18" max="18" width="41" bestFit="1" customWidth="1"/>
  </cols>
  <sheetData>
    <row r="1" spans="1:18" s="1" customFormat="1" ht="37.5">
      <c r="A1" s="1" t="s">
        <v>31</v>
      </c>
      <c r="B1" s="1" t="s">
        <v>24</v>
      </c>
      <c r="C1" s="1" t="s">
        <v>10</v>
      </c>
      <c r="D1" s="1" t="s">
        <v>16</v>
      </c>
      <c r="E1" s="1" t="s">
        <v>0</v>
      </c>
      <c r="F1" s="1" t="s">
        <v>14</v>
      </c>
      <c r="G1" s="1" t="s">
        <v>15</v>
      </c>
      <c r="H1" s="4" t="s">
        <v>4</v>
      </c>
      <c r="I1" s="2" t="s">
        <v>2</v>
      </c>
      <c r="J1" s="2" t="s">
        <v>5</v>
      </c>
      <c r="K1" s="2" t="s">
        <v>3</v>
      </c>
      <c r="L1" s="2" t="s">
        <v>22</v>
      </c>
      <c r="M1" s="2" t="s">
        <v>23</v>
      </c>
      <c r="N1" s="2" t="s">
        <v>17</v>
      </c>
      <c r="O1" s="2" t="s">
        <v>18</v>
      </c>
      <c r="P1" s="6" t="s">
        <v>8</v>
      </c>
      <c r="Q1" s="2" t="s">
        <v>9</v>
      </c>
      <c r="R1" s="2" t="s">
        <v>11</v>
      </c>
    </row>
    <row r="2" spans="1:18">
      <c r="A2" t="s">
        <v>32</v>
      </c>
      <c r="B2">
        <v>1</v>
      </c>
      <c r="C2" t="str">
        <f>_xlfn.XLOOKUP($B2,内部名!$A:$A,内部名!$B:$B,"Unknown")</f>
        <v>Landwirtschaftliche</v>
      </c>
      <c r="D2" t="s">
        <v>12</v>
      </c>
      <c r="E2" t="s">
        <v>1</v>
      </c>
      <c r="F2">
        <v>1</v>
      </c>
      <c r="G2">
        <v>1</v>
      </c>
      <c r="H2" s="5">
        <v>2</v>
      </c>
      <c r="I2">
        <v>1</v>
      </c>
      <c r="P2" s="3">
        <v>0</v>
      </c>
      <c r="Q2">
        <f t="shared" ref="Q2:Q43" si="0">($H2*$I2+$J2*$K2+$L2*$M2+$N2*$O2)/($F2*$G2)+$P2</f>
        <v>2</v>
      </c>
      <c r="R2" t="str">
        <f t="shared" ref="R2:R43" si="1">CONCATENATE("jpp_",$E2,"_128jp_",$C2,$Q2,$D2)</f>
        <v>jpp_res_128jp_Landwirtschaftliche2A</v>
      </c>
    </row>
    <row r="3" spans="1:18">
      <c r="A3" t="s">
        <v>67</v>
      </c>
      <c r="B3">
        <v>2</v>
      </c>
      <c r="C3" t="str">
        <f>_xlfn.XLOOKUP($B3,内部名!$A:$A,内部名!$B:$B,"Unknown")</f>
        <v>NiedrigesGebaeude</v>
      </c>
      <c r="D3" t="s">
        <v>12</v>
      </c>
      <c r="E3" t="s">
        <v>20</v>
      </c>
      <c r="F3">
        <v>1</v>
      </c>
      <c r="G3">
        <v>1</v>
      </c>
      <c r="L3">
        <v>1</v>
      </c>
      <c r="M3">
        <v>4</v>
      </c>
      <c r="P3" s="3">
        <v>0</v>
      </c>
      <c r="Q3">
        <f t="shared" si="0"/>
        <v>4</v>
      </c>
      <c r="R3" t="str">
        <f t="shared" si="1"/>
        <v>jpp_com_128jp_NiedrigesGebaeude4A</v>
      </c>
    </row>
    <row r="4" spans="1:18">
      <c r="A4" t="s">
        <v>78</v>
      </c>
      <c r="B4">
        <v>2</v>
      </c>
      <c r="C4" t="str">
        <f>_xlfn.XLOOKUP($B4,内部名!$A:$A,内部名!$B:$B,"Unknown")</f>
        <v>NiedrigesGebaeude</v>
      </c>
      <c r="D4" t="s">
        <v>12</v>
      </c>
      <c r="E4" t="s">
        <v>21</v>
      </c>
      <c r="F4">
        <v>1</v>
      </c>
      <c r="G4">
        <v>1</v>
      </c>
      <c r="L4">
        <v>1</v>
      </c>
      <c r="M4">
        <v>4</v>
      </c>
      <c r="P4" s="3">
        <v>0</v>
      </c>
      <c r="Q4">
        <f t="shared" si="0"/>
        <v>4</v>
      </c>
      <c r="R4" t="str">
        <f t="shared" si="1"/>
        <v>jpp_ind_128jp_NiedrigesGebaeude4A</v>
      </c>
    </row>
    <row r="5" spans="1:18">
      <c r="A5" t="s">
        <v>79</v>
      </c>
      <c r="B5">
        <v>2</v>
      </c>
      <c r="C5" t="str">
        <f>_xlfn.XLOOKUP($B5,内部名!$A:$A,内部名!$B:$B,"Unknown")</f>
        <v>NiedrigesGebaeude</v>
      </c>
      <c r="D5" t="s">
        <v>12</v>
      </c>
      <c r="E5" t="s">
        <v>21</v>
      </c>
      <c r="F5">
        <v>1</v>
      </c>
      <c r="G5">
        <v>1</v>
      </c>
      <c r="L5">
        <v>1</v>
      </c>
      <c r="M5">
        <v>12</v>
      </c>
      <c r="P5" s="3">
        <v>0</v>
      </c>
      <c r="Q5">
        <f t="shared" si="0"/>
        <v>12</v>
      </c>
      <c r="R5" t="str">
        <f t="shared" si="1"/>
        <v>jpp_ind_128jp_NiedrigesGebaeude12A</v>
      </c>
    </row>
    <row r="6" spans="1:18">
      <c r="A6" t="s">
        <v>80</v>
      </c>
      <c r="B6">
        <v>2</v>
      </c>
      <c r="C6" t="str">
        <f>_xlfn.XLOOKUP($B6,内部名!$A:$A,内部名!$B:$B,"Unknown")</f>
        <v>NiedrigesGebaeude</v>
      </c>
      <c r="D6" t="s">
        <v>12</v>
      </c>
      <c r="E6" t="s">
        <v>21</v>
      </c>
      <c r="F6">
        <v>1</v>
      </c>
      <c r="G6">
        <v>1</v>
      </c>
      <c r="L6">
        <v>1</v>
      </c>
      <c r="M6">
        <v>18</v>
      </c>
      <c r="P6" s="3">
        <v>0</v>
      </c>
      <c r="Q6">
        <f t="shared" si="0"/>
        <v>18</v>
      </c>
      <c r="R6" t="str">
        <f t="shared" si="1"/>
        <v>jpp_ind_128jp_NiedrigesGebaeude18A</v>
      </c>
    </row>
    <row r="7" spans="1:18">
      <c r="A7" t="s">
        <v>81</v>
      </c>
      <c r="B7">
        <v>2</v>
      </c>
      <c r="C7" t="str">
        <f>_xlfn.XLOOKUP($B7,内部名!$A:$A,内部名!$B:$B,"Unknown")</f>
        <v>NiedrigesGebaeude</v>
      </c>
      <c r="D7" t="s">
        <v>12</v>
      </c>
      <c r="E7" t="s">
        <v>21</v>
      </c>
      <c r="F7">
        <v>1</v>
      </c>
      <c r="G7">
        <v>1</v>
      </c>
      <c r="L7">
        <v>1</v>
      </c>
      <c r="M7">
        <v>27</v>
      </c>
      <c r="P7" s="3">
        <v>0</v>
      </c>
      <c r="Q7">
        <f t="shared" si="0"/>
        <v>27</v>
      </c>
      <c r="R7" t="str">
        <f t="shared" si="1"/>
        <v>jpp_ind_128jp_NiedrigesGebaeude27A</v>
      </c>
    </row>
    <row r="8" spans="1:18">
      <c r="A8" t="s">
        <v>33</v>
      </c>
      <c r="B8">
        <v>2</v>
      </c>
      <c r="C8" t="str">
        <f>_xlfn.XLOOKUP($B8,内部名!$A:$A,内部名!$B:$B,"Unknown")</f>
        <v>NiedrigesGebaeude</v>
      </c>
      <c r="D8" t="s">
        <v>12</v>
      </c>
      <c r="E8" t="s">
        <v>1</v>
      </c>
      <c r="F8">
        <v>1</v>
      </c>
      <c r="G8">
        <v>1</v>
      </c>
      <c r="H8" s="5">
        <v>1</v>
      </c>
      <c r="I8">
        <v>3</v>
      </c>
      <c r="P8" s="3">
        <v>0</v>
      </c>
      <c r="Q8">
        <f t="shared" si="0"/>
        <v>3</v>
      </c>
      <c r="R8" t="str">
        <f t="shared" si="1"/>
        <v>jpp_res_128jp_NiedrigesGebaeude3A</v>
      </c>
    </row>
    <row r="9" spans="1:18">
      <c r="A9" t="s">
        <v>41</v>
      </c>
      <c r="B9">
        <v>2</v>
      </c>
      <c r="C9" t="str">
        <f>_xlfn.XLOOKUP($B9,内部名!$A:$A,内部名!$B:$B,"Unknown")</f>
        <v>NiedrigesGebaeude</v>
      </c>
      <c r="D9" t="s">
        <v>12</v>
      </c>
      <c r="E9" t="s">
        <v>1</v>
      </c>
      <c r="F9">
        <v>1</v>
      </c>
      <c r="G9">
        <v>1</v>
      </c>
      <c r="H9" s="5">
        <v>1</v>
      </c>
      <c r="I9">
        <v>4</v>
      </c>
      <c r="P9" s="3">
        <v>0</v>
      </c>
      <c r="Q9">
        <f t="shared" si="0"/>
        <v>4</v>
      </c>
      <c r="R9" t="str">
        <f t="shared" si="1"/>
        <v>jpp_res_128jp_NiedrigesGebaeude4A</v>
      </c>
    </row>
    <row r="10" spans="1:18">
      <c r="A10" t="s">
        <v>42</v>
      </c>
      <c r="B10">
        <v>2</v>
      </c>
      <c r="C10" t="str">
        <f>_xlfn.XLOOKUP($B10,内部名!$A:$A,内部名!$B:$B,"Unknown")</f>
        <v>NiedrigesGebaeude</v>
      </c>
      <c r="D10" t="s">
        <v>13</v>
      </c>
      <c r="E10" t="s">
        <v>1</v>
      </c>
      <c r="F10">
        <v>1</v>
      </c>
      <c r="G10">
        <v>1</v>
      </c>
      <c r="H10" s="5">
        <v>1</v>
      </c>
      <c r="I10">
        <v>4</v>
      </c>
      <c r="P10" s="3">
        <v>0</v>
      </c>
      <c r="Q10">
        <f t="shared" si="0"/>
        <v>4</v>
      </c>
      <c r="R10" t="str">
        <f t="shared" si="1"/>
        <v>jpp_res_128jp_NiedrigesGebaeude4B</v>
      </c>
    </row>
    <row r="11" spans="1:18">
      <c r="A11" t="s">
        <v>43</v>
      </c>
      <c r="B11">
        <v>2</v>
      </c>
      <c r="C11" t="str">
        <f>_xlfn.XLOOKUP($B11,内部名!$A:$A,内部名!$B:$B,"Unknown")</f>
        <v>NiedrigesGebaeude</v>
      </c>
      <c r="D11" t="s">
        <v>12</v>
      </c>
      <c r="E11" t="s">
        <v>1</v>
      </c>
      <c r="F11">
        <v>1</v>
      </c>
      <c r="G11">
        <v>1</v>
      </c>
      <c r="H11" s="5">
        <v>1</v>
      </c>
      <c r="I11">
        <v>6</v>
      </c>
      <c r="P11" s="3">
        <v>0</v>
      </c>
      <c r="Q11">
        <f t="shared" si="0"/>
        <v>6</v>
      </c>
      <c r="R11" t="str">
        <f t="shared" si="1"/>
        <v>jpp_res_128jp_NiedrigesGebaeude6A</v>
      </c>
    </row>
    <row r="12" spans="1:18">
      <c r="A12" t="s">
        <v>47</v>
      </c>
      <c r="B12">
        <v>2</v>
      </c>
      <c r="C12" t="str">
        <f>_xlfn.XLOOKUP($B12,内部名!$A:$A,内部名!$B:$B,"Unknown")</f>
        <v>NiedrigesGebaeude</v>
      </c>
      <c r="D12" t="s">
        <v>12</v>
      </c>
      <c r="E12" t="s">
        <v>1</v>
      </c>
      <c r="F12">
        <v>1</v>
      </c>
      <c r="G12">
        <v>1</v>
      </c>
      <c r="J12">
        <v>4</v>
      </c>
      <c r="K12">
        <v>2</v>
      </c>
      <c r="P12" s="3">
        <v>0</v>
      </c>
      <c r="Q12">
        <f t="shared" si="0"/>
        <v>8</v>
      </c>
      <c r="R12" t="str">
        <f t="shared" si="1"/>
        <v>jpp_res_128jp_NiedrigesGebaeude8A</v>
      </c>
    </row>
    <row r="13" spans="1:18">
      <c r="A13" t="s">
        <v>48</v>
      </c>
      <c r="B13">
        <v>2</v>
      </c>
      <c r="C13" t="str">
        <f>_xlfn.XLOOKUP($B13,内部名!$A:$A,内部名!$B:$B,"Unknown")</f>
        <v>NiedrigesGebaeude</v>
      </c>
      <c r="D13" t="s">
        <v>13</v>
      </c>
      <c r="E13" t="s">
        <v>1</v>
      </c>
      <c r="F13">
        <v>1</v>
      </c>
      <c r="G13">
        <v>1</v>
      </c>
      <c r="J13">
        <v>4</v>
      </c>
      <c r="K13">
        <v>2</v>
      </c>
      <c r="P13" s="3">
        <v>0</v>
      </c>
      <c r="Q13">
        <f t="shared" si="0"/>
        <v>8</v>
      </c>
      <c r="R13" t="str">
        <f t="shared" si="1"/>
        <v>jpp_res_128jp_NiedrigesGebaeude8B</v>
      </c>
    </row>
    <row r="14" spans="1:18">
      <c r="A14" t="s">
        <v>49</v>
      </c>
      <c r="B14">
        <v>2</v>
      </c>
      <c r="C14" t="str">
        <f>_xlfn.XLOOKUP($B14,内部名!$A:$A,内部名!$B:$B,"Unknown")</f>
        <v>NiedrigesGebaeude</v>
      </c>
      <c r="D14" t="s">
        <v>12</v>
      </c>
      <c r="E14" t="s">
        <v>1</v>
      </c>
      <c r="F14">
        <v>1</v>
      </c>
      <c r="G14">
        <v>1</v>
      </c>
      <c r="J14">
        <v>6</v>
      </c>
      <c r="K14">
        <v>2</v>
      </c>
      <c r="P14" s="3">
        <v>0</v>
      </c>
      <c r="Q14">
        <f t="shared" si="0"/>
        <v>12</v>
      </c>
      <c r="R14" t="str">
        <f t="shared" si="1"/>
        <v>jpp_res_128jp_NiedrigesGebaeude12A</v>
      </c>
    </row>
    <row r="15" spans="1:18">
      <c r="A15" t="s">
        <v>50</v>
      </c>
      <c r="B15">
        <v>2</v>
      </c>
      <c r="C15" t="str">
        <f>_xlfn.XLOOKUP($B15,内部名!$A:$A,内部名!$B:$B,"Unknown")</f>
        <v>NiedrigesGebaeude</v>
      </c>
      <c r="D15" t="s">
        <v>12</v>
      </c>
      <c r="E15" t="s">
        <v>1</v>
      </c>
      <c r="F15">
        <v>1</v>
      </c>
      <c r="G15">
        <v>1</v>
      </c>
      <c r="J15">
        <v>8</v>
      </c>
      <c r="K15">
        <v>2</v>
      </c>
      <c r="P15" s="3">
        <v>0</v>
      </c>
      <c r="Q15">
        <f t="shared" si="0"/>
        <v>16</v>
      </c>
      <c r="R15" t="str">
        <f t="shared" si="1"/>
        <v>jpp_res_128jp_NiedrigesGebaeude16A</v>
      </c>
    </row>
    <row r="16" spans="1:18">
      <c r="A16" t="s">
        <v>51</v>
      </c>
      <c r="B16">
        <v>2</v>
      </c>
      <c r="C16" t="str">
        <f>_xlfn.XLOOKUP($B16,内部名!$A:$A,内部名!$B:$B,"Unknown")</f>
        <v>NiedrigesGebaeude</v>
      </c>
      <c r="D16" t="s">
        <v>13</v>
      </c>
      <c r="E16" t="s">
        <v>1</v>
      </c>
      <c r="F16">
        <v>1</v>
      </c>
      <c r="G16">
        <v>1</v>
      </c>
      <c r="J16">
        <v>8</v>
      </c>
      <c r="K16">
        <v>2</v>
      </c>
      <c r="P16" s="3">
        <v>0</v>
      </c>
      <c r="Q16">
        <f t="shared" si="0"/>
        <v>16</v>
      </c>
      <c r="R16" t="str">
        <f t="shared" si="1"/>
        <v>jpp_res_128jp_NiedrigesGebaeude16B</v>
      </c>
    </row>
    <row r="17" spans="1:18">
      <c r="A17" t="s">
        <v>53</v>
      </c>
      <c r="B17">
        <v>2</v>
      </c>
      <c r="C17" t="str">
        <f>_xlfn.XLOOKUP($B17,内部名!$A:$A,内部名!$B:$B,"Unknown")</f>
        <v>NiedrigesGebaeude</v>
      </c>
      <c r="D17" t="s">
        <v>12</v>
      </c>
      <c r="E17" t="s">
        <v>1</v>
      </c>
      <c r="F17">
        <v>1</v>
      </c>
      <c r="G17">
        <v>1</v>
      </c>
      <c r="J17">
        <v>12</v>
      </c>
      <c r="K17">
        <v>2</v>
      </c>
      <c r="P17" s="3">
        <v>0</v>
      </c>
      <c r="Q17">
        <f t="shared" si="0"/>
        <v>24</v>
      </c>
      <c r="R17" t="str">
        <f t="shared" si="1"/>
        <v>jpp_res_128jp_NiedrigesGebaeude24A</v>
      </c>
    </row>
    <row r="18" spans="1:18">
      <c r="A18" t="s">
        <v>59</v>
      </c>
      <c r="B18">
        <v>2</v>
      </c>
      <c r="C18" t="str">
        <f>_xlfn.XLOOKUP($B18,内部名!$A:$A,内部名!$B:$B,"Unknown")</f>
        <v>NiedrigesGebaeude</v>
      </c>
      <c r="D18" t="s">
        <v>13</v>
      </c>
      <c r="E18" t="s">
        <v>1</v>
      </c>
      <c r="F18">
        <v>1</v>
      </c>
      <c r="G18">
        <v>1</v>
      </c>
      <c r="J18">
        <v>12</v>
      </c>
      <c r="K18">
        <v>2</v>
      </c>
      <c r="P18" s="3">
        <v>0</v>
      </c>
      <c r="Q18">
        <f t="shared" si="0"/>
        <v>24</v>
      </c>
      <c r="R18" t="str">
        <f t="shared" si="1"/>
        <v>jpp_res_128jp_NiedrigesGebaeude24B</v>
      </c>
    </row>
    <row r="19" spans="1:18">
      <c r="A19" t="s">
        <v>54</v>
      </c>
      <c r="B19">
        <v>3</v>
      </c>
      <c r="C19" t="str">
        <f>_xlfn.XLOOKUP($B19,内部名!$A:$A,内部名!$B:$B,"Unknown")</f>
        <v>Wohnsiedlung</v>
      </c>
      <c r="D19" t="s">
        <v>12</v>
      </c>
      <c r="E19" t="s">
        <v>1</v>
      </c>
      <c r="F19">
        <v>1</v>
      </c>
      <c r="G19">
        <v>1</v>
      </c>
      <c r="P19" s="3">
        <v>18</v>
      </c>
      <c r="Q19">
        <f t="shared" si="0"/>
        <v>18</v>
      </c>
      <c r="R19" t="str">
        <f t="shared" si="1"/>
        <v>jpp_res_128jp_Wohnsiedlung18A</v>
      </c>
    </row>
    <row r="20" spans="1:18">
      <c r="A20" t="s">
        <v>56</v>
      </c>
      <c r="B20">
        <v>3</v>
      </c>
      <c r="C20" t="str">
        <f>_xlfn.XLOOKUP($B20,内部名!$A:$A,内部名!$B:$B,"Unknown")</f>
        <v>Wohnsiedlung</v>
      </c>
      <c r="D20" t="s">
        <v>13</v>
      </c>
      <c r="E20" t="s">
        <v>1</v>
      </c>
      <c r="F20">
        <v>1</v>
      </c>
      <c r="G20">
        <v>1</v>
      </c>
      <c r="J20">
        <v>9</v>
      </c>
      <c r="K20">
        <v>2</v>
      </c>
      <c r="P20" s="3">
        <v>0</v>
      </c>
      <c r="Q20">
        <f t="shared" si="0"/>
        <v>18</v>
      </c>
      <c r="R20" t="str">
        <f t="shared" si="1"/>
        <v>jpp_res_128jp_Wohnsiedlung18B</v>
      </c>
    </row>
    <row r="21" spans="1:18">
      <c r="A21" t="s">
        <v>57</v>
      </c>
      <c r="B21">
        <v>3</v>
      </c>
      <c r="C21" t="str">
        <f>_xlfn.XLOOKUP($B21,内部名!$A:$A,内部名!$B:$B,"Unknown")</f>
        <v>Wohnsiedlung</v>
      </c>
      <c r="D21" t="s">
        <v>12</v>
      </c>
      <c r="E21" t="s">
        <v>1</v>
      </c>
      <c r="F21">
        <v>1</v>
      </c>
      <c r="G21">
        <v>1</v>
      </c>
      <c r="J21">
        <v>12</v>
      </c>
      <c r="K21">
        <v>2</v>
      </c>
      <c r="P21" s="3">
        <v>0</v>
      </c>
      <c r="Q21">
        <f t="shared" si="0"/>
        <v>24</v>
      </c>
      <c r="R21" t="str">
        <f t="shared" si="1"/>
        <v>jpp_res_128jp_Wohnsiedlung24A</v>
      </c>
    </row>
    <row r="22" spans="1:18">
      <c r="A22" t="s">
        <v>58</v>
      </c>
      <c r="B22">
        <v>3</v>
      </c>
      <c r="C22" t="str">
        <f>_xlfn.XLOOKUP($B22,内部名!$A:$A,内部名!$B:$B,"Unknown")</f>
        <v>Wohnsiedlung</v>
      </c>
      <c r="D22" t="s">
        <v>12</v>
      </c>
      <c r="E22" t="s">
        <v>1</v>
      </c>
      <c r="F22">
        <v>1</v>
      </c>
      <c r="G22">
        <v>1</v>
      </c>
      <c r="J22">
        <v>24</v>
      </c>
      <c r="K22">
        <v>2</v>
      </c>
      <c r="P22" s="3">
        <v>0</v>
      </c>
      <c r="Q22">
        <f t="shared" si="0"/>
        <v>48</v>
      </c>
      <c r="R22" t="str">
        <f t="shared" si="1"/>
        <v>jpp_res_128jp_Wohnsiedlung48A</v>
      </c>
    </row>
    <row r="23" spans="1:18">
      <c r="A23" t="s">
        <v>66</v>
      </c>
      <c r="B23">
        <v>4</v>
      </c>
      <c r="C23" t="str">
        <f>_xlfn.XLOOKUP($B23,内部名!$A:$A,内部名!$B:$B,"Unknown")</f>
        <v>NiedrigesParzelle</v>
      </c>
      <c r="D23" t="s">
        <v>12</v>
      </c>
      <c r="E23" t="s">
        <v>20</v>
      </c>
      <c r="F23">
        <v>1</v>
      </c>
      <c r="G23">
        <v>1</v>
      </c>
      <c r="L23">
        <v>5</v>
      </c>
      <c r="M23">
        <v>2</v>
      </c>
      <c r="N23">
        <v>3</v>
      </c>
      <c r="O23">
        <v>4</v>
      </c>
      <c r="P23" s="3">
        <v>0</v>
      </c>
      <c r="Q23">
        <f t="shared" si="0"/>
        <v>22</v>
      </c>
      <c r="R23" t="str">
        <f t="shared" si="1"/>
        <v>jpp_com_128jp_NiedrigesParzelle22A</v>
      </c>
    </row>
    <row r="24" spans="1:18">
      <c r="A24" t="s">
        <v>45</v>
      </c>
      <c r="B24">
        <v>4</v>
      </c>
      <c r="C24" t="str">
        <f>_xlfn.XLOOKUP($B24,内部名!$A:$A,内部名!$B:$B,"Unknown")</f>
        <v>NiedrigesParzelle</v>
      </c>
      <c r="D24" t="s">
        <v>12</v>
      </c>
      <c r="E24" t="s">
        <v>1</v>
      </c>
      <c r="F24">
        <v>1</v>
      </c>
      <c r="G24">
        <v>1</v>
      </c>
      <c r="H24" s="5">
        <v>4</v>
      </c>
      <c r="I24">
        <v>2</v>
      </c>
      <c r="P24" s="3">
        <v>0</v>
      </c>
      <c r="Q24">
        <f t="shared" si="0"/>
        <v>8</v>
      </c>
      <c r="R24" t="str">
        <f t="shared" si="1"/>
        <v>jpp_res_128jp_NiedrigesParzelle8A</v>
      </c>
    </row>
    <row r="25" spans="1:18">
      <c r="A25" t="s">
        <v>44</v>
      </c>
      <c r="B25">
        <v>4</v>
      </c>
      <c r="C25" t="str">
        <f>_xlfn.XLOOKUP($B25,内部名!$A:$A,内部名!$B:$B,"Unknown")</f>
        <v>NiedrigesParzelle</v>
      </c>
      <c r="D25" t="s">
        <v>12</v>
      </c>
      <c r="E25" t="s">
        <v>1</v>
      </c>
      <c r="F25">
        <v>1</v>
      </c>
      <c r="G25">
        <v>1</v>
      </c>
      <c r="H25" s="5">
        <v>2</v>
      </c>
      <c r="I25">
        <v>2</v>
      </c>
      <c r="J25">
        <v>6</v>
      </c>
      <c r="K25">
        <v>2</v>
      </c>
      <c r="P25" s="3">
        <v>0</v>
      </c>
      <c r="Q25">
        <f t="shared" si="0"/>
        <v>16</v>
      </c>
      <c r="R25" t="str">
        <f t="shared" si="1"/>
        <v>jpp_res_128jp_NiedrigesParzelle16A</v>
      </c>
    </row>
    <row r="26" spans="1:18">
      <c r="A26" t="s">
        <v>46</v>
      </c>
      <c r="B26">
        <v>4</v>
      </c>
      <c r="C26" t="str">
        <f>_xlfn.XLOOKUP($B26,内部名!$A:$A,内部名!$B:$B,"Unknown")</f>
        <v>NiedrigesParzelle</v>
      </c>
      <c r="D26" t="s">
        <v>12</v>
      </c>
      <c r="E26" t="s">
        <v>1</v>
      </c>
      <c r="F26">
        <v>1</v>
      </c>
      <c r="G26">
        <v>1</v>
      </c>
      <c r="H26" s="5">
        <v>3</v>
      </c>
      <c r="I26">
        <v>2</v>
      </c>
      <c r="J26">
        <v>6</v>
      </c>
      <c r="K26">
        <v>2</v>
      </c>
      <c r="P26" s="3">
        <v>0</v>
      </c>
      <c r="Q26">
        <f t="shared" si="0"/>
        <v>18</v>
      </c>
      <c r="R26" t="str">
        <f t="shared" si="1"/>
        <v>jpp_res_128jp_NiedrigesParzelle18A</v>
      </c>
    </row>
    <row r="27" spans="1:18">
      <c r="A27" t="s">
        <v>69</v>
      </c>
      <c r="B27">
        <v>5</v>
      </c>
      <c r="C27" t="str">
        <f>_xlfn.XLOOKUP($B27,内部名!$A:$A,内部名!$B:$B,"Unknown")</f>
        <v>MittlererGebaeude</v>
      </c>
      <c r="D27" t="s">
        <v>12</v>
      </c>
      <c r="E27" t="s">
        <v>20</v>
      </c>
      <c r="F27">
        <v>1</v>
      </c>
      <c r="G27">
        <v>1</v>
      </c>
      <c r="J27">
        <v>6</v>
      </c>
      <c r="K27">
        <v>2</v>
      </c>
      <c r="L27">
        <v>1</v>
      </c>
      <c r="M27">
        <v>3</v>
      </c>
      <c r="P27" s="3">
        <v>0</v>
      </c>
      <c r="Q27">
        <f t="shared" si="0"/>
        <v>15</v>
      </c>
      <c r="R27" t="str">
        <f t="shared" si="1"/>
        <v>jpp_com_128jp_MittlererGebaeude15A</v>
      </c>
    </row>
    <row r="28" spans="1:18">
      <c r="A28" t="s">
        <v>52</v>
      </c>
      <c r="B28">
        <v>5</v>
      </c>
      <c r="C28" t="str">
        <f>_xlfn.XLOOKUP($B28,内部名!$A:$A,内部名!$B:$B,"Unknown")</f>
        <v>MittlererGebaeude</v>
      </c>
      <c r="D28" t="s">
        <v>12</v>
      </c>
      <c r="E28" t="s">
        <v>20</v>
      </c>
      <c r="F28">
        <v>1</v>
      </c>
      <c r="G28">
        <v>1</v>
      </c>
      <c r="L28">
        <v>1</v>
      </c>
      <c r="M28">
        <v>4</v>
      </c>
      <c r="N28">
        <v>3</v>
      </c>
      <c r="O28">
        <v>5</v>
      </c>
      <c r="P28" s="3">
        <v>0</v>
      </c>
      <c r="Q28">
        <f t="shared" si="0"/>
        <v>19</v>
      </c>
      <c r="R28" t="str">
        <f t="shared" si="1"/>
        <v>jpp_com_128jp_MittlererGebaeude19A</v>
      </c>
    </row>
    <row r="29" spans="1:18">
      <c r="A29" t="s">
        <v>68</v>
      </c>
      <c r="B29">
        <v>5</v>
      </c>
      <c r="C29" t="str">
        <f>_xlfn.XLOOKUP($B29,内部名!$A:$A,内部名!$B:$B,"Unknown")</f>
        <v>MittlererGebaeude</v>
      </c>
      <c r="D29" t="s">
        <v>12</v>
      </c>
      <c r="E29" t="s">
        <v>20</v>
      </c>
      <c r="F29">
        <v>1</v>
      </c>
      <c r="G29">
        <v>1</v>
      </c>
      <c r="L29">
        <v>1</v>
      </c>
      <c r="M29">
        <v>4</v>
      </c>
      <c r="N29">
        <v>5</v>
      </c>
      <c r="O29">
        <v>5</v>
      </c>
      <c r="P29" s="3">
        <v>0</v>
      </c>
      <c r="Q29">
        <f t="shared" si="0"/>
        <v>29</v>
      </c>
      <c r="R29" t="str">
        <f t="shared" si="1"/>
        <v>jpp_com_128jp_MittlererGebaeude29A</v>
      </c>
    </row>
    <row r="30" spans="1:18">
      <c r="A30" t="s">
        <v>72</v>
      </c>
      <c r="B30">
        <v>5</v>
      </c>
      <c r="C30" t="str">
        <f>_xlfn.XLOOKUP($B30,内部名!$A:$A,内部名!$B:$B,"Unknown")</f>
        <v>MittlererGebaeude</v>
      </c>
      <c r="D30" t="s">
        <v>13</v>
      </c>
      <c r="E30" t="s">
        <v>20</v>
      </c>
      <c r="F30">
        <v>1</v>
      </c>
      <c r="G30">
        <v>1</v>
      </c>
      <c r="L30">
        <v>3</v>
      </c>
      <c r="M30">
        <v>3</v>
      </c>
      <c r="N30">
        <v>5</v>
      </c>
      <c r="O30">
        <v>4</v>
      </c>
      <c r="P30" s="3">
        <v>0</v>
      </c>
      <c r="Q30">
        <f t="shared" si="0"/>
        <v>29</v>
      </c>
      <c r="R30" t="str">
        <f t="shared" si="1"/>
        <v>jpp_com_128jp_MittlererGebaeude29B</v>
      </c>
    </row>
    <row r="31" spans="1:18">
      <c r="A31" t="s">
        <v>70</v>
      </c>
      <c r="B31">
        <v>5</v>
      </c>
      <c r="C31" t="str">
        <f>_xlfn.XLOOKUP($B31,内部名!$A:$A,内部名!$B:$B,"Unknown")</f>
        <v>MittlererGebaeude</v>
      </c>
      <c r="D31" t="s">
        <v>12</v>
      </c>
      <c r="E31" t="s">
        <v>20</v>
      </c>
      <c r="F31">
        <v>1</v>
      </c>
      <c r="G31">
        <v>1</v>
      </c>
      <c r="N31">
        <v>8</v>
      </c>
      <c r="O31">
        <v>5</v>
      </c>
      <c r="P31" s="3">
        <v>0</v>
      </c>
      <c r="Q31">
        <f t="shared" si="0"/>
        <v>40</v>
      </c>
      <c r="R31" t="str">
        <f t="shared" si="1"/>
        <v>jpp_com_128jp_MittlererGebaeude40A</v>
      </c>
    </row>
    <row r="32" spans="1:18">
      <c r="A32" t="s">
        <v>55</v>
      </c>
      <c r="B32">
        <v>5</v>
      </c>
      <c r="C32" t="str">
        <f>_xlfn.XLOOKUP($B32,内部名!$A:$A,内部名!$B:$B,"Unknown")</f>
        <v>MittlererGebaeude</v>
      </c>
      <c r="D32" t="s">
        <v>12</v>
      </c>
      <c r="E32" t="s">
        <v>21</v>
      </c>
      <c r="F32">
        <v>1</v>
      </c>
      <c r="G32">
        <v>1</v>
      </c>
      <c r="N32">
        <v>3</v>
      </c>
      <c r="O32">
        <v>5</v>
      </c>
      <c r="P32" s="3">
        <v>0</v>
      </c>
      <c r="Q32">
        <f t="shared" si="0"/>
        <v>15</v>
      </c>
      <c r="R32" t="str">
        <f t="shared" si="1"/>
        <v>jpp_ind_128jp_MittlererGebaeude15A</v>
      </c>
    </row>
    <row r="33" spans="1:18">
      <c r="A33" t="s">
        <v>60</v>
      </c>
      <c r="B33">
        <v>5</v>
      </c>
      <c r="C33" t="str">
        <f>_xlfn.XLOOKUP($B33,内部名!$A:$A,内部名!$B:$B,"Unknown")</f>
        <v>MittlererGebaeude</v>
      </c>
      <c r="D33" t="s">
        <v>12</v>
      </c>
      <c r="E33" t="s">
        <v>1</v>
      </c>
      <c r="F33">
        <v>1</v>
      </c>
      <c r="G33">
        <v>1</v>
      </c>
      <c r="J33">
        <v>24</v>
      </c>
      <c r="K33">
        <v>2</v>
      </c>
      <c r="L33">
        <v>2</v>
      </c>
      <c r="M33">
        <v>2</v>
      </c>
      <c r="P33" s="3">
        <v>0</v>
      </c>
      <c r="Q33">
        <f t="shared" si="0"/>
        <v>52</v>
      </c>
      <c r="R33" t="str">
        <f t="shared" si="1"/>
        <v>jpp_res_128jp_MittlererGebaeude52A</v>
      </c>
    </row>
    <row r="34" spans="1:18">
      <c r="A34" t="s">
        <v>71</v>
      </c>
      <c r="B34">
        <v>6</v>
      </c>
      <c r="C34" t="str">
        <f>_xlfn.XLOOKUP($B34,内部名!$A:$A,内部名!$B:$B,"Unknown")</f>
        <v>MittlererParzelle</v>
      </c>
      <c r="D34" t="s">
        <v>12</v>
      </c>
      <c r="E34" t="s">
        <v>20</v>
      </c>
      <c r="F34">
        <v>1</v>
      </c>
      <c r="G34">
        <v>1</v>
      </c>
      <c r="L34">
        <v>2</v>
      </c>
      <c r="M34">
        <v>4</v>
      </c>
      <c r="N34">
        <v>3</v>
      </c>
      <c r="O34">
        <v>5</v>
      </c>
      <c r="P34" s="3">
        <v>0</v>
      </c>
      <c r="Q34">
        <f t="shared" si="0"/>
        <v>23</v>
      </c>
      <c r="R34" t="str">
        <f t="shared" si="1"/>
        <v>jpp_com_128jp_MittlererParzelle23A</v>
      </c>
    </row>
    <row r="35" spans="1:18">
      <c r="A35" t="s">
        <v>73</v>
      </c>
      <c r="B35">
        <v>6</v>
      </c>
      <c r="C35" t="str">
        <f>_xlfn.XLOOKUP($B35,内部名!$A:$A,内部名!$B:$B,"Unknown")</f>
        <v>MittlererParzelle</v>
      </c>
      <c r="D35" t="s">
        <v>12</v>
      </c>
      <c r="E35" t="s">
        <v>20</v>
      </c>
      <c r="F35">
        <v>1</v>
      </c>
      <c r="G35">
        <v>1</v>
      </c>
      <c r="N35">
        <v>8</v>
      </c>
      <c r="O35">
        <v>4</v>
      </c>
      <c r="P35" s="3">
        <v>0</v>
      </c>
      <c r="Q35">
        <f t="shared" si="0"/>
        <v>32</v>
      </c>
      <c r="R35" t="str">
        <f t="shared" si="1"/>
        <v>jpp_com_128jp_MittlererParzelle32A</v>
      </c>
    </row>
    <row r="36" spans="1:18">
      <c r="A36" t="s">
        <v>74</v>
      </c>
      <c r="B36">
        <v>7</v>
      </c>
      <c r="C36" t="str">
        <f>_xlfn.XLOOKUP($B36,内部名!$A:$A,内部名!$B:$B,"Unknown")</f>
        <v>Hochhaus</v>
      </c>
      <c r="D36" t="s">
        <v>12</v>
      </c>
      <c r="E36" t="s">
        <v>20</v>
      </c>
      <c r="F36">
        <v>1</v>
      </c>
      <c r="G36">
        <v>1</v>
      </c>
      <c r="N36">
        <v>15</v>
      </c>
      <c r="O36">
        <v>4</v>
      </c>
      <c r="P36" s="3">
        <v>0</v>
      </c>
      <c r="Q36">
        <f t="shared" si="0"/>
        <v>60</v>
      </c>
      <c r="R36" t="str">
        <f t="shared" si="1"/>
        <v>jpp_com_128jp_Hochhaus60A</v>
      </c>
    </row>
    <row r="37" spans="1:18">
      <c r="A37" t="s">
        <v>75</v>
      </c>
      <c r="B37">
        <v>7</v>
      </c>
      <c r="C37" t="str">
        <f>_xlfn.XLOOKUP($B37,内部名!$A:$A,内部名!$B:$B,"Unknown")</f>
        <v>Hochhaus</v>
      </c>
      <c r="D37" t="s">
        <v>12</v>
      </c>
      <c r="E37" t="s">
        <v>20</v>
      </c>
      <c r="F37">
        <v>1</v>
      </c>
      <c r="G37">
        <v>1</v>
      </c>
      <c r="N37">
        <v>19</v>
      </c>
      <c r="O37">
        <v>4</v>
      </c>
      <c r="P37" s="3">
        <v>0</v>
      </c>
      <c r="Q37">
        <f t="shared" si="0"/>
        <v>76</v>
      </c>
      <c r="R37" t="str">
        <f t="shared" si="1"/>
        <v>jpp_com_128jp_Hochhaus76A</v>
      </c>
    </row>
    <row r="38" spans="1:18">
      <c r="A38" t="s">
        <v>76</v>
      </c>
      <c r="B38">
        <v>7</v>
      </c>
      <c r="C38" t="str">
        <f>_xlfn.XLOOKUP($B38,内部名!$A:$A,内部名!$B:$B,"Unknown")</f>
        <v>Hochhaus</v>
      </c>
      <c r="D38" t="s">
        <v>12</v>
      </c>
      <c r="E38" t="s">
        <v>20</v>
      </c>
      <c r="F38">
        <v>1</v>
      </c>
      <c r="G38">
        <v>1</v>
      </c>
      <c r="N38">
        <v>22</v>
      </c>
      <c r="O38">
        <v>4</v>
      </c>
      <c r="P38" s="3">
        <v>0</v>
      </c>
      <c r="Q38">
        <f t="shared" si="0"/>
        <v>88</v>
      </c>
      <c r="R38" t="str">
        <f t="shared" si="1"/>
        <v>jpp_com_128jp_Hochhaus88A</v>
      </c>
    </row>
    <row r="39" spans="1:18">
      <c r="A39" t="s">
        <v>77</v>
      </c>
      <c r="B39">
        <v>7</v>
      </c>
      <c r="C39" t="str">
        <f>_xlfn.XLOOKUP($B39,内部名!$A:$A,内部名!$B:$B,"Unknown")</f>
        <v>Hochhaus</v>
      </c>
      <c r="D39" t="s">
        <v>12</v>
      </c>
      <c r="E39" t="s">
        <v>20</v>
      </c>
      <c r="F39">
        <v>1</v>
      </c>
      <c r="G39">
        <v>1</v>
      </c>
      <c r="L39">
        <v>5</v>
      </c>
      <c r="M39">
        <v>4</v>
      </c>
      <c r="N39">
        <v>19</v>
      </c>
      <c r="O39">
        <v>4</v>
      </c>
      <c r="P39" s="3">
        <v>0</v>
      </c>
      <c r="Q39">
        <f t="shared" si="0"/>
        <v>96</v>
      </c>
      <c r="R39" t="str">
        <f t="shared" si="1"/>
        <v>jpp_com_128jp_Hochhaus96A</v>
      </c>
    </row>
    <row r="40" spans="1:18">
      <c r="A40" t="s">
        <v>62</v>
      </c>
      <c r="B40">
        <v>7</v>
      </c>
      <c r="C40" t="str">
        <f>_xlfn.XLOOKUP($B40,内部名!$A:$A,内部名!$B:$B,"Unknown")</f>
        <v>Hochhaus</v>
      </c>
      <c r="D40" t="s">
        <v>12</v>
      </c>
      <c r="E40" t="s">
        <v>1</v>
      </c>
      <c r="F40">
        <v>1</v>
      </c>
      <c r="G40">
        <v>1</v>
      </c>
      <c r="J40">
        <v>72</v>
      </c>
      <c r="K40">
        <v>1</v>
      </c>
      <c r="P40" s="3">
        <v>0</v>
      </c>
      <c r="Q40">
        <f t="shared" si="0"/>
        <v>72</v>
      </c>
      <c r="R40" t="str">
        <f t="shared" si="1"/>
        <v>jpp_res_128jp_Hochhaus72A</v>
      </c>
    </row>
    <row r="41" spans="1:18">
      <c r="A41" t="s">
        <v>63</v>
      </c>
      <c r="B41">
        <v>7</v>
      </c>
      <c r="C41" t="str">
        <f>_xlfn.XLOOKUP($B41,内部名!$A:$A,内部名!$B:$B,"Unknown")</f>
        <v>Hochhaus</v>
      </c>
      <c r="D41" t="s">
        <v>12</v>
      </c>
      <c r="E41" t="s">
        <v>1</v>
      </c>
      <c r="F41">
        <v>1</v>
      </c>
      <c r="G41">
        <v>1</v>
      </c>
      <c r="N41">
        <v>11</v>
      </c>
      <c r="O41">
        <v>8</v>
      </c>
      <c r="P41" s="3">
        <v>0</v>
      </c>
      <c r="Q41">
        <f t="shared" si="0"/>
        <v>88</v>
      </c>
      <c r="R41" t="str">
        <f t="shared" si="1"/>
        <v>jpp_res_128jp_Hochhaus88A</v>
      </c>
    </row>
    <row r="42" spans="1:18">
      <c r="A42" t="s">
        <v>64</v>
      </c>
      <c r="B42">
        <v>7</v>
      </c>
      <c r="C42" t="str">
        <f>_xlfn.XLOOKUP($B42,内部名!$A:$A,内部名!$B:$B,"Unknown")</f>
        <v>Hochhaus</v>
      </c>
      <c r="D42" t="s">
        <v>12</v>
      </c>
      <c r="E42" t="s">
        <v>1</v>
      </c>
      <c r="F42">
        <v>1</v>
      </c>
      <c r="G42">
        <v>1</v>
      </c>
      <c r="N42">
        <v>19</v>
      </c>
      <c r="O42">
        <v>8</v>
      </c>
      <c r="P42" s="3">
        <v>0</v>
      </c>
      <c r="Q42">
        <f t="shared" si="0"/>
        <v>152</v>
      </c>
      <c r="R42" t="str">
        <f t="shared" si="1"/>
        <v>jpp_res_128jp_Hochhaus152A</v>
      </c>
    </row>
    <row r="43" spans="1:18">
      <c r="A43" t="s">
        <v>65</v>
      </c>
      <c r="B43">
        <v>7</v>
      </c>
      <c r="C43" t="str">
        <f>_xlfn.XLOOKUP($B43,内部名!$A:$A,内部名!$B:$B,"Unknown")</f>
        <v>Hochhaus</v>
      </c>
      <c r="D43" t="s">
        <v>12</v>
      </c>
      <c r="E43" t="s">
        <v>1</v>
      </c>
      <c r="F43">
        <v>1</v>
      </c>
      <c r="G43">
        <v>1</v>
      </c>
      <c r="N43">
        <v>26</v>
      </c>
      <c r="O43">
        <v>8</v>
      </c>
      <c r="P43" s="3">
        <v>0</v>
      </c>
      <c r="Q43">
        <f t="shared" si="0"/>
        <v>208</v>
      </c>
      <c r="R43" t="str">
        <f t="shared" si="1"/>
        <v>jpp_res_128jp_Hochhaus208A</v>
      </c>
    </row>
  </sheetData>
  <autoFilter ref="A1:R43" xr:uid="{00000000-0001-0000-0000-000000000000}">
    <sortState xmlns:xlrd2="http://schemas.microsoft.com/office/spreadsheetml/2017/richdata2" ref="A2:R43">
      <sortCondition ref="B2:B43"/>
      <sortCondition ref="E2:E43"/>
      <sortCondition ref="Q2:Q43"/>
      <sortCondition ref="D2:D43"/>
    </sortState>
  </autoFilter>
  <sortState xmlns:xlrd2="http://schemas.microsoft.com/office/spreadsheetml/2017/richdata2" ref="A2:R43">
    <sortCondition ref="E2:E43"/>
    <sortCondition ref="B2:B43"/>
    <sortCondition ref="Q2:Q43"/>
    <sortCondition ref="D2:D43"/>
  </sortState>
  <phoneticPr fontId="1"/>
  <dataValidations count="1">
    <dataValidation type="list" allowBlank="1" showInputMessage="1" showErrorMessage="1" sqref="E2:E1048576" xr:uid="{D79BF6E4-AC3B-4160-BF40-D73B06A82343}">
      <formula1>"res,com,ind"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EFB78-37C1-48E0-B01B-BD7EB7CED290}">
  <dimension ref="A1:R7"/>
  <sheetViews>
    <sheetView workbookViewId="0">
      <pane xSplit="3" ySplit="1" topLeftCell="D2" activePane="bottomRight" state="frozen"/>
      <selection pane="topRight" activeCell="C1" sqref="C1"/>
      <selection pane="bottomLeft" activeCell="A2" sqref="A2"/>
      <selection pane="bottomRight"/>
    </sheetView>
  </sheetViews>
  <sheetFormatPr defaultRowHeight="18.75"/>
  <cols>
    <col min="1" max="1" width="11.5" bestFit="1" customWidth="1"/>
    <col min="2" max="2" width="15" bestFit="1" customWidth="1"/>
    <col min="3" max="3" width="19.375" bestFit="1" customWidth="1"/>
    <col min="4" max="7" width="5.25" bestFit="1" customWidth="1"/>
    <col min="8" max="8" width="9" style="5"/>
    <col min="9" max="9" width="10" bestFit="1" customWidth="1"/>
    <col min="11" max="11" width="12.125" bestFit="1" customWidth="1"/>
    <col min="12" max="12" width="7.125" bestFit="1" customWidth="1"/>
    <col min="13" max="13" width="12.125" bestFit="1" customWidth="1"/>
    <col min="14" max="14" width="8.875" bestFit="1" customWidth="1"/>
    <col min="15" max="15" width="14" bestFit="1" customWidth="1"/>
    <col min="16" max="16" width="5.25" style="3" bestFit="1" customWidth="1"/>
    <col min="17" max="17" width="6" bestFit="1" customWidth="1"/>
    <col min="18" max="18" width="36.125" bestFit="1" customWidth="1"/>
  </cols>
  <sheetData>
    <row r="1" spans="1:18" s="1" customFormat="1" ht="37.5">
      <c r="A1" s="1" t="s">
        <v>31</v>
      </c>
      <c r="B1" s="1" t="s">
        <v>24</v>
      </c>
      <c r="C1" s="1" t="s">
        <v>10</v>
      </c>
      <c r="D1" s="1" t="s">
        <v>16</v>
      </c>
      <c r="E1" s="1" t="s">
        <v>0</v>
      </c>
      <c r="F1" s="1" t="s">
        <v>14</v>
      </c>
      <c r="G1" s="1" t="s">
        <v>15</v>
      </c>
      <c r="H1" s="4" t="s">
        <v>4</v>
      </c>
      <c r="I1" s="2" t="s">
        <v>2</v>
      </c>
      <c r="J1" s="2" t="s">
        <v>5</v>
      </c>
      <c r="K1" s="2" t="s">
        <v>3</v>
      </c>
      <c r="L1" s="2" t="s">
        <v>6</v>
      </c>
      <c r="M1" s="2" t="s">
        <v>7</v>
      </c>
      <c r="N1" s="2" t="s">
        <v>17</v>
      </c>
      <c r="O1" s="2" t="s">
        <v>18</v>
      </c>
      <c r="P1" s="6" t="s">
        <v>8</v>
      </c>
      <c r="Q1" s="2" t="s">
        <v>9</v>
      </c>
      <c r="R1" s="2" t="s">
        <v>11</v>
      </c>
    </row>
    <row r="2" spans="1:18">
      <c r="A2" t="s">
        <v>93</v>
      </c>
      <c r="B2">
        <v>2</v>
      </c>
      <c r="C2" t="str">
        <f>_xlfn.XLOOKUP($B2,内部名!$A:$A,内部名!$B:$B,"Unknown")</f>
        <v>NiedrigesGebaeude</v>
      </c>
      <c r="D2" t="s">
        <v>94</v>
      </c>
      <c r="E2" t="s">
        <v>95</v>
      </c>
      <c r="F2">
        <v>2</v>
      </c>
      <c r="G2">
        <v>2</v>
      </c>
      <c r="L2">
        <v>1</v>
      </c>
      <c r="M2">
        <v>16</v>
      </c>
      <c r="P2" s="3">
        <v>0</v>
      </c>
      <c r="Q2">
        <f t="shared" ref="Q2:Q7" si="0">($H2*$I2+$J2*$K2+$L2*$M2+$N2*$O2)/($F2*$G2)+$P2</f>
        <v>4</v>
      </c>
      <c r="R2" t="str">
        <f t="shared" ref="R2:R7" si="1">CONCATENATE("jpp_",$E2,"_713_",$C2,$Q2,$D2)</f>
        <v>jpp_com_713_NiedrigesGebaeude4A</v>
      </c>
    </row>
    <row r="3" spans="1:18">
      <c r="A3" t="s">
        <v>88</v>
      </c>
      <c r="B3">
        <v>3</v>
      </c>
      <c r="C3" t="str">
        <f>_xlfn.XLOOKUP($B3,内部名!$A:$A,内部名!$B:$B,"Unknown")</f>
        <v>Wohnsiedlung</v>
      </c>
      <c r="D3" t="s">
        <v>12</v>
      </c>
      <c r="E3" t="s">
        <v>1</v>
      </c>
      <c r="F3">
        <v>2</v>
      </c>
      <c r="G3">
        <v>2</v>
      </c>
      <c r="J3">
        <v>30</v>
      </c>
      <c r="K3">
        <v>2</v>
      </c>
      <c r="P3" s="3">
        <v>0</v>
      </c>
      <c r="Q3">
        <f t="shared" si="0"/>
        <v>15</v>
      </c>
      <c r="R3" t="str">
        <f t="shared" si="1"/>
        <v>jpp_res_713_Wohnsiedlung15A</v>
      </c>
    </row>
    <row r="4" spans="1:18">
      <c r="A4" t="s">
        <v>90</v>
      </c>
      <c r="B4">
        <v>3</v>
      </c>
      <c r="C4" t="str">
        <f>_xlfn.XLOOKUP($B4,内部名!$A:$A,内部名!$B:$B,"Unknown")</f>
        <v>Wohnsiedlung</v>
      </c>
      <c r="D4" t="s">
        <v>13</v>
      </c>
      <c r="E4" t="s">
        <v>1</v>
      </c>
      <c r="F4">
        <v>1</v>
      </c>
      <c r="G4">
        <v>1</v>
      </c>
      <c r="P4" s="3">
        <v>15</v>
      </c>
      <c r="Q4">
        <f t="shared" si="0"/>
        <v>15</v>
      </c>
      <c r="R4" t="str">
        <f t="shared" si="1"/>
        <v>jpp_res_713_Wohnsiedlung15B</v>
      </c>
    </row>
    <row r="5" spans="1:18">
      <c r="A5" t="s">
        <v>89</v>
      </c>
      <c r="B5">
        <v>3</v>
      </c>
      <c r="C5" t="str">
        <f>_xlfn.XLOOKUP($B5,内部名!$A:$A,内部名!$B:$B,"Unknown")</f>
        <v>Wohnsiedlung</v>
      </c>
      <c r="D5" t="s">
        <v>12</v>
      </c>
      <c r="E5" t="s">
        <v>1</v>
      </c>
      <c r="F5">
        <v>1</v>
      </c>
      <c r="G5">
        <v>1</v>
      </c>
      <c r="J5">
        <v>10</v>
      </c>
      <c r="K5">
        <v>2</v>
      </c>
      <c r="P5" s="3">
        <v>0</v>
      </c>
      <c r="Q5">
        <f t="shared" si="0"/>
        <v>20</v>
      </c>
      <c r="R5" t="str">
        <f t="shared" si="1"/>
        <v>jpp_res_713_Wohnsiedlung20A</v>
      </c>
    </row>
    <row r="6" spans="1:18">
      <c r="A6" t="s">
        <v>91</v>
      </c>
      <c r="B6">
        <v>3</v>
      </c>
      <c r="C6" t="str">
        <f>_xlfn.XLOOKUP($B6,内部名!$A:$A,内部名!$B:$B,"Unknown")</f>
        <v>Wohnsiedlung</v>
      </c>
      <c r="D6" t="s">
        <v>13</v>
      </c>
      <c r="E6" t="s">
        <v>1</v>
      </c>
      <c r="F6">
        <v>2</v>
      </c>
      <c r="G6">
        <v>2</v>
      </c>
      <c r="J6">
        <v>40</v>
      </c>
      <c r="K6">
        <v>2</v>
      </c>
      <c r="P6" s="3">
        <v>0</v>
      </c>
      <c r="Q6">
        <f t="shared" si="0"/>
        <v>20</v>
      </c>
      <c r="R6" t="str">
        <f t="shared" si="1"/>
        <v>jpp_res_713_Wohnsiedlung20B</v>
      </c>
    </row>
    <row r="7" spans="1:18">
      <c r="A7" t="s">
        <v>92</v>
      </c>
      <c r="B7">
        <v>3</v>
      </c>
      <c r="C7" t="str">
        <f>_xlfn.XLOOKUP($B7,内部名!$A:$A,内部名!$B:$B,"Unknown")</f>
        <v>Wohnsiedlung</v>
      </c>
      <c r="D7" t="s">
        <v>12</v>
      </c>
      <c r="E7" t="s">
        <v>1</v>
      </c>
      <c r="F7">
        <v>1</v>
      </c>
      <c r="G7">
        <v>1</v>
      </c>
      <c r="J7">
        <v>15</v>
      </c>
      <c r="K7">
        <v>2</v>
      </c>
      <c r="P7" s="3">
        <v>0</v>
      </c>
      <c r="Q7">
        <f t="shared" si="0"/>
        <v>30</v>
      </c>
      <c r="R7" t="str">
        <f t="shared" si="1"/>
        <v>jpp_res_713_Wohnsiedlung30A</v>
      </c>
    </row>
  </sheetData>
  <autoFilter ref="A1:R6" xr:uid="{871EFB78-37C1-48E0-B01B-BD7EB7CED290}">
    <sortState xmlns:xlrd2="http://schemas.microsoft.com/office/spreadsheetml/2017/richdata2" ref="A2:R6">
      <sortCondition ref="B2:B6"/>
      <sortCondition ref="E2:E6"/>
      <sortCondition ref="Q2:Q6"/>
      <sortCondition ref="D2:D6"/>
    </sortState>
  </autoFilter>
  <sortState xmlns:xlrd2="http://schemas.microsoft.com/office/spreadsheetml/2017/richdata2" ref="A2:R7">
    <sortCondition ref="B2:B7"/>
    <sortCondition ref="E2:E7"/>
    <sortCondition ref="Q2:Q7"/>
    <sortCondition ref="D2:D7"/>
  </sortState>
  <phoneticPr fontId="1"/>
  <dataValidations count="1">
    <dataValidation type="list" allowBlank="1" showInputMessage="1" showErrorMessage="1" sqref="E2:E1048576" xr:uid="{632A8D64-79A1-4F83-BC28-8F25922CB159}">
      <formula1>"res,com,ind"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EED1C-6E42-40B2-8C71-467A6F814FC2}">
  <dimension ref="A1:R28"/>
  <sheetViews>
    <sheetView tabSelected="1" workbookViewId="0">
      <pane xSplit="3" ySplit="1" topLeftCell="D2" activePane="bottomRight" state="frozen"/>
      <selection pane="topRight" activeCell="C1" sqref="C1"/>
      <selection pane="bottomLeft" activeCell="A2" sqref="A2"/>
      <selection pane="bottomRight"/>
    </sheetView>
  </sheetViews>
  <sheetFormatPr defaultRowHeight="18.75"/>
  <cols>
    <col min="1" max="1" width="12.5" bestFit="1" customWidth="1"/>
    <col min="2" max="2" width="13" bestFit="1" customWidth="1"/>
    <col min="3" max="3" width="21.875" bestFit="1" customWidth="1"/>
    <col min="4" max="7" width="5.25" bestFit="1" customWidth="1"/>
    <col min="8" max="8" width="9" style="5"/>
    <col min="9" max="9" width="10" bestFit="1" customWidth="1"/>
    <col min="11" max="11" width="12.125" bestFit="1" customWidth="1"/>
    <col min="12" max="12" width="11.875" bestFit="1" customWidth="1"/>
    <col min="13" max="13" width="17.25" bestFit="1" customWidth="1"/>
    <col min="14" max="14" width="8.875" bestFit="1" customWidth="1"/>
    <col min="15" max="15" width="14" bestFit="1" customWidth="1"/>
    <col min="16" max="16" width="5.25" style="3" bestFit="1" customWidth="1"/>
    <col min="17" max="17" width="6" bestFit="1" customWidth="1"/>
    <col min="18" max="18" width="41" bestFit="1" customWidth="1"/>
  </cols>
  <sheetData>
    <row r="1" spans="1:18" s="1" customFormat="1" ht="37.5">
      <c r="A1" s="1" t="s">
        <v>31</v>
      </c>
      <c r="B1" s="1" t="s">
        <v>24</v>
      </c>
      <c r="C1" s="1" t="s">
        <v>10</v>
      </c>
      <c r="D1" s="1" t="s">
        <v>16</v>
      </c>
      <c r="E1" s="1" t="s">
        <v>0</v>
      </c>
      <c r="F1" s="1" t="s">
        <v>14</v>
      </c>
      <c r="G1" s="1" t="s">
        <v>15</v>
      </c>
      <c r="H1" s="4" t="s">
        <v>4</v>
      </c>
      <c r="I1" s="2" t="s">
        <v>2</v>
      </c>
      <c r="J1" s="2" t="s">
        <v>5</v>
      </c>
      <c r="K1" s="2" t="s">
        <v>3</v>
      </c>
      <c r="L1" s="2" t="s">
        <v>22</v>
      </c>
      <c r="M1" s="2" t="s">
        <v>23</v>
      </c>
      <c r="N1" s="2" t="s">
        <v>17</v>
      </c>
      <c r="O1" s="2" t="s">
        <v>18</v>
      </c>
      <c r="P1" s="6" t="s">
        <v>8</v>
      </c>
      <c r="Q1" s="2" t="s">
        <v>9</v>
      </c>
      <c r="R1" s="2" t="s">
        <v>11</v>
      </c>
    </row>
    <row r="2" spans="1:18">
      <c r="A2" t="s">
        <v>82</v>
      </c>
      <c r="B2">
        <v>1</v>
      </c>
      <c r="C2" t="str">
        <f>_xlfn.XLOOKUP($B2,内部名!$A:$A,内部名!$B:$B,"Unknown")</f>
        <v>Landwirtschaftliche</v>
      </c>
      <c r="D2" t="s">
        <v>12</v>
      </c>
      <c r="E2" t="s">
        <v>83</v>
      </c>
      <c r="F2">
        <v>1</v>
      </c>
      <c r="G2">
        <v>1</v>
      </c>
      <c r="P2" s="3">
        <v>0</v>
      </c>
      <c r="Q2">
        <f>($H2*$I2+$J2*$K2+$L2*$M2+$N2*$O2)/($F2*$G2)+$P2</f>
        <v>0</v>
      </c>
      <c r="R2" t="str">
        <f>CONCATENATE("jpp_",$E2,"_wilson_",$C2,$Q2,$D2)</f>
        <v>jpp_com_wilson_Landwirtschaftliche0A</v>
      </c>
    </row>
    <row r="3" spans="1:18">
      <c r="A3" t="s">
        <v>85</v>
      </c>
      <c r="B3">
        <v>1</v>
      </c>
      <c r="C3" t="str">
        <f>_xlfn.XLOOKUP($B3,内部名!$A:$A,内部名!$B:$B,"Unknown")</f>
        <v>Landwirtschaftliche</v>
      </c>
      <c r="D3" t="s">
        <v>13</v>
      </c>
      <c r="E3" t="s">
        <v>83</v>
      </c>
      <c r="F3">
        <v>1</v>
      </c>
      <c r="G3">
        <v>1</v>
      </c>
      <c r="P3" s="3">
        <v>0</v>
      </c>
      <c r="Q3">
        <f>($H3*$I3+$J3*$K3+$L3*$M3+$N3*$O3)/($F3*$G3)+$P3</f>
        <v>0</v>
      </c>
      <c r="R3" t="str">
        <f>CONCATENATE("jpp_",$E3,"_wilson_",$C3,$Q3,$D3)</f>
        <v>jpp_com_wilson_Landwirtschaftliche0B</v>
      </c>
    </row>
    <row r="4" spans="1:18">
      <c r="A4" t="s">
        <v>86</v>
      </c>
      <c r="B4">
        <v>1</v>
      </c>
      <c r="C4" t="str">
        <f>_xlfn.XLOOKUP($B4,内部名!$A:$A,内部名!$B:$B,"Unknown")</f>
        <v>Landwirtschaftliche</v>
      </c>
      <c r="D4" t="s">
        <v>87</v>
      </c>
      <c r="E4" t="s">
        <v>83</v>
      </c>
      <c r="F4">
        <v>1</v>
      </c>
      <c r="G4">
        <v>1</v>
      </c>
      <c r="P4" s="3">
        <v>0</v>
      </c>
      <c r="Q4">
        <f>($H4*$I4+$J4*$K4+$L4*$M4+$N4*$O4)/($F4*$G4)+$P4</f>
        <v>0</v>
      </c>
      <c r="R4" t="str">
        <f>CONCATENATE("jpp_",$E4,"_wilson_",$C4,$Q4,$D4)</f>
        <v>jpp_com_wilson_Landwirtschaftliche0C</v>
      </c>
    </row>
    <row r="5" spans="1:18">
      <c r="A5" t="s">
        <v>96</v>
      </c>
      <c r="B5">
        <v>1</v>
      </c>
      <c r="C5" t="str">
        <f>_xlfn.XLOOKUP($B5,内部名!$A:$A,内部名!$B:$B,"Unknown")</f>
        <v>Landwirtschaftliche</v>
      </c>
      <c r="D5" t="s">
        <v>102</v>
      </c>
      <c r="E5" t="s">
        <v>83</v>
      </c>
      <c r="F5">
        <v>1</v>
      </c>
      <c r="G5">
        <v>2</v>
      </c>
      <c r="P5" s="3">
        <v>0</v>
      </c>
      <c r="Q5">
        <f>($H5*$I5+$J5*$K5+$L5*$M5+$N5*$O5)/($F5*$G5)+$P5</f>
        <v>0</v>
      </c>
      <c r="R5" t="str">
        <f>CONCATENATE("jpp_",$E5,"_wilson_",$C5,$Q5,$D5)</f>
        <v>jpp_com_wilson_Landwirtschaftliche0D</v>
      </c>
    </row>
    <row r="6" spans="1:18">
      <c r="A6" t="s">
        <v>97</v>
      </c>
      <c r="B6">
        <v>1</v>
      </c>
      <c r="C6" t="str">
        <f>_xlfn.XLOOKUP($B6,内部名!$A:$A,内部名!$B:$B,"Unknown")</f>
        <v>Landwirtschaftliche</v>
      </c>
      <c r="D6" t="s">
        <v>103</v>
      </c>
      <c r="E6" t="s">
        <v>83</v>
      </c>
      <c r="F6">
        <v>1</v>
      </c>
      <c r="G6">
        <v>2</v>
      </c>
      <c r="P6" s="3">
        <v>0</v>
      </c>
      <c r="Q6">
        <f>($H6*$I6+$J6*$K6+$L6*$M6+$N6*$O6)/($F6*$G6)+$P6</f>
        <v>0</v>
      </c>
      <c r="R6" t="str">
        <f>CONCATENATE("jpp_",$E6,"_wilson_",$C6,$Q6,$D6)</f>
        <v>jpp_com_wilson_Landwirtschaftliche0E</v>
      </c>
    </row>
    <row r="7" spans="1:18">
      <c r="A7" t="s">
        <v>98</v>
      </c>
      <c r="B7">
        <v>1</v>
      </c>
      <c r="C7" t="str">
        <f>_xlfn.XLOOKUP($B7,内部名!$A:$A,内部名!$B:$B,"Unknown")</f>
        <v>Landwirtschaftliche</v>
      </c>
      <c r="D7" t="s">
        <v>104</v>
      </c>
      <c r="E7" t="s">
        <v>83</v>
      </c>
      <c r="F7">
        <v>1</v>
      </c>
      <c r="G7">
        <v>2</v>
      </c>
      <c r="P7" s="3">
        <v>0</v>
      </c>
      <c r="Q7">
        <f>($H7*$I7+$J7*$K7+$L7*$M7+$N7*$O7)/($F7*$G7)+$P7</f>
        <v>0</v>
      </c>
      <c r="R7" t="str">
        <f>CONCATENATE("jpp_",$E7,"_wilson_",$C7,$Q7,$D7)</f>
        <v>jpp_com_wilson_Landwirtschaftliche0F</v>
      </c>
    </row>
    <row r="8" spans="1:18">
      <c r="A8" t="s">
        <v>99</v>
      </c>
      <c r="B8">
        <v>1</v>
      </c>
      <c r="C8" t="str">
        <f>_xlfn.XLOOKUP($B8,内部名!$A:$A,内部名!$B:$B,"Unknown")</f>
        <v>Landwirtschaftliche</v>
      </c>
      <c r="D8" t="s">
        <v>105</v>
      </c>
      <c r="E8" t="s">
        <v>83</v>
      </c>
      <c r="F8">
        <v>2</v>
      </c>
      <c r="G8">
        <v>2</v>
      </c>
      <c r="P8" s="3">
        <v>0</v>
      </c>
      <c r="Q8">
        <f>($H8*$I8+$J8*$K8+$L8*$M8+$N8*$O8)/($F8*$G8)+$P8</f>
        <v>0</v>
      </c>
      <c r="R8" t="str">
        <f>CONCATENATE("jpp_",$E8,"_wilson_",$C8,$Q8,$D8)</f>
        <v>jpp_com_wilson_Landwirtschaftliche0G</v>
      </c>
    </row>
    <row r="9" spans="1:18">
      <c r="A9" t="s">
        <v>100</v>
      </c>
      <c r="B9">
        <v>1</v>
      </c>
      <c r="C9" t="str">
        <f>_xlfn.XLOOKUP($B9,内部名!$A:$A,内部名!$B:$B,"Unknown")</f>
        <v>Landwirtschaftliche</v>
      </c>
      <c r="D9" t="s">
        <v>106</v>
      </c>
      <c r="E9" t="s">
        <v>83</v>
      </c>
      <c r="F9">
        <v>2</v>
      </c>
      <c r="G9">
        <v>2</v>
      </c>
      <c r="P9" s="3">
        <v>0</v>
      </c>
      <c r="Q9">
        <f>($H9*$I9+$J9*$K9+$L9*$M9+$N9*$O9)/($F9*$G9)+$P9</f>
        <v>0</v>
      </c>
      <c r="R9" t="str">
        <f>CONCATENATE("jpp_",$E9,"_wilson_",$C9,$Q9,$D9)</f>
        <v>jpp_com_wilson_Landwirtschaftliche0H</v>
      </c>
    </row>
    <row r="10" spans="1:18">
      <c r="A10" t="s">
        <v>101</v>
      </c>
      <c r="B10">
        <v>1</v>
      </c>
      <c r="C10" t="str">
        <f>_xlfn.XLOOKUP($B10,内部名!$A:$A,内部名!$B:$B,"Unknown")</f>
        <v>Landwirtschaftliche</v>
      </c>
      <c r="D10" t="s">
        <v>107</v>
      </c>
      <c r="E10" t="s">
        <v>83</v>
      </c>
      <c r="F10">
        <v>2</v>
      </c>
      <c r="G10">
        <v>2</v>
      </c>
      <c r="P10" s="3">
        <v>0</v>
      </c>
      <c r="Q10">
        <f>($H10*$I10+$J10*$K10+$L10*$M10+$N10*$O10)/($F10*$G10)+$P10</f>
        <v>0</v>
      </c>
      <c r="R10" t="str">
        <f>CONCATENATE("jpp_",$E10,"_wilson_",$C10,$Q10,$D10)</f>
        <v>jpp_com_wilson_Landwirtschaftliche0I</v>
      </c>
    </row>
    <row r="11" spans="1:18">
      <c r="A11" t="s">
        <v>82</v>
      </c>
      <c r="B11">
        <v>1</v>
      </c>
      <c r="C11" t="str">
        <f>_xlfn.XLOOKUP($B11,内部名!$A:$A,内部名!$B:$B,"Unknown")</f>
        <v>Landwirtschaftliche</v>
      </c>
      <c r="D11" t="s">
        <v>12</v>
      </c>
      <c r="E11" t="s">
        <v>84</v>
      </c>
      <c r="F11">
        <v>1</v>
      </c>
      <c r="G11">
        <v>1</v>
      </c>
      <c r="P11" s="3">
        <v>0</v>
      </c>
      <c r="Q11">
        <f>($H11*$I11+$J11*$K11+$L11*$M11+$N11*$O11)/($F11*$G11)+$P11</f>
        <v>0</v>
      </c>
      <c r="R11" t="str">
        <f>CONCATENATE("jpp_",$E11,"_wilson_",$C11,$Q11,$D11)</f>
        <v>jpp_ind_wilson_Landwirtschaftliche0A</v>
      </c>
    </row>
    <row r="12" spans="1:18">
      <c r="A12" t="s">
        <v>85</v>
      </c>
      <c r="B12">
        <v>1</v>
      </c>
      <c r="C12" t="str">
        <f>_xlfn.XLOOKUP($B12,内部名!$A:$A,内部名!$B:$B,"Unknown")</f>
        <v>Landwirtschaftliche</v>
      </c>
      <c r="D12" t="s">
        <v>13</v>
      </c>
      <c r="E12" t="s">
        <v>84</v>
      </c>
      <c r="F12">
        <v>1</v>
      </c>
      <c r="G12">
        <v>1</v>
      </c>
      <c r="P12" s="3">
        <v>0</v>
      </c>
      <c r="Q12">
        <f>($H12*$I12+$J12*$K12+$L12*$M12+$N12*$O12)/($F12*$G12)+$P12</f>
        <v>0</v>
      </c>
      <c r="R12" t="str">
        <f>CONCATENATE("jpp_",$E12,"_wilson_",$C12,$Q12,$D12)</f>
        <v>jpp_ind_wilson_Landwirtschaftliche0B</v>
      </c>
    </row>
    <row r="13" spans="1:18">
      <c r="A13" t="s">
        <v>86</v>
      </c>
      <c r="B13">
        <v>1</v>
      </c>
      <c r="C13" t="str">
        <f>_xlfn.XLOOKUP($B13,内部名!$A:$A,内部名!$B:$B,"Unknown")</f>
        <v>Landwirtschaftliche</v>
      </c>
      <c r="D13" t="s">
        <v>87</v>
      </c>
      <c r="E13" t="s">
        <v>84</v>
      </c>
      <c r="F13">
        <v>1</v>
      </c>
      <c r="G13">
        <v>1</v>
      </c>
      <c r="P13" s="3">
        <v>0</v>
      </c>
      <c r="Q13">
        <f>($H13*$I13+$J13*$K13+$L13*$M13+$N13*$O13)/($F13*$G13)+$P13</f>
        <v>0</v>
      </c>
      <c r="R13" t="str">
        <f>CONCATENATE("jpp_",$E13,"_wilson_",$C13,$Q13,$D13)</f>
        <v>jpp_ind_wilson_Landwirtschaftliche0C</v>
      </c>
    </row>
    <row r="14" spans="1:18">
      <c r="A14" t="s">
        <v>96</v>
      </c>
      <c r="B14">
        <v>1</v>
      </c>
      <c r="C14" t="str">
        <f>_xlfn.XLOOKUP($B14,内部名!$A:$A,内部名!$B:$B,"Unknown")</f>
        <v>Landwirtschaftliche</v>
      </c>
      <c r="D14" t="s">
        <v>102</v>
      </c>
      <c r="E14" t="s">
        <v>84</v>
      </c>
      <c r="F14">
        <v>1</v>
      </c>
      <c r="G14">
        <v>2</v>
      </c>
      <c r="P14" s="3">
        <v>0</v>
      </c>
      <c r="Q14">
        <f>($H14*$I14+$J14*$K14+$L14*$M14+$N14*$O14)/($F14*$G14)+$P14</f>
        <v>0</v>
      </c>
      <c r="R14" t="str">
        <f>CONCATENATE("jpp_",$E14,"_wilson_",$C14,$Q14,$D14)</f>
        <v>jpp_ind_wilson_Landwirtschaftliche0D</v>
      </c>
    </row>
    <row r="15" spans="1:18">
      <c r="A15" t="s">
        <v>97</v>
      </c>
      <c r="B15">
        <v>1</v>
      </c>
      <c r="C15" t="str">
        <f>_xlfn.XLOOKUP($B15,内部名!$A:$A,内部名!$B:$B,"Unknown")</f>
        <v>Landwirtschaftliche</v>
      </c>
      <c r="D15" t="s">
        <v>103</v>
      </c>
      <c r="E15" t="s">
        <v>84</v>
      </c>
      <c r="F15">
        <v>1</v>
      </c>
      <c r="G15">
        <v>2</v>
      </c>
      <c r="P15" s="3">
        <v>0</v>
      </c>
      <c r="Q15">
        <f>($H15*$I15+$J15*$K15+$L15*$M15+$N15*$O15)/($F15*$G15)+$P15</f>
        <v>0</v>
      </c>
      <c r="R15" t="str">
        <f>CONCATENATE("jpp_",$E15,"_wilson_",$C15,$Q15,$D15)</f>
        <v>jpp_ind_wilson_Landwirtschaftliche0E</v>
      </c>
    </row>
    <row r="16" spans="1:18">
      <c r="A16" t="s">
        <v>98</v>
      </c>
      <c r="B16">
        <v>1</v>
      </c>
      <c r="C16" t="str">
        <f>_xlfn.XLOOKUP($B16,内部名!$A:$A,内部名!$B:$B,"Unknown")</f>
        <v>Landwirtschaftliche</v>
      </c>
      <c r="D16" t="s">
        <v>104</v>
      </c>
      <c r="E16" t="s">
        <v>84</v>
      </c>
      <c r="F16">
        <v>1</v>
      </c>
      <c r="G16">
        <v>2</v>
      </c>
      <c r="P16" s="3">
        <v>0</v>
      </c>
      <c r="Q16">
        <f>($H16*$I16+$J16*$K16+$L16*$M16+$N16*$O16)/($F16*$G16)+$P16</f>
        <v>0</v>
      </c>
      <c r="R16" t="str">
        <f>CONCATENATE("jpp_",$E16,"_wilson_",$C16,$Q16,$D16)</f>
        <v>jpp_ind_wilson_Landwirtschaftliche0F</v>
      </c>
    </row>
    <row r="17" spans="1:18">
      <c r="A17" t="s">
        <v>99</v>
      </c>
      <c r="B17">
        <v>1</v>
      </c>
      <c r="C17" t="str">
        <f>_xlfn.XLOOKUP($B17,内部名!$A:$A,内部名!$B:$B,"Unknown")</f>
        <v>Landwirtschaftliche</v>
      </c>
      <c r="D17" t="s">
        <v>105</v>
      </c>
      <c r="E17" t="s">
        <v>84</v>
      </c>
      <c r="F17">
        <v>2</v>
      </c>
      <c r="G17">
        <v>2</v>
      </c>
      <c r="P17" s="3">
        <v>0</v>
      </c>
      <c r="Q17">
        <f>($H17*$I17+$J17*$K17+$L17*$M17+$N17*$O17)/($F17*$G17)+$P17</f>
        <v>0</v>
      </c>
      <c r="R17" t="str">
        <f>CONCATENATE("jpp_",$E17,"_wilson_",$C17,$Q17,$D17)</f>
        <v>jpp_ind_wilson_Landwirtschaftliche0G</v>
      </c>
    </row>
    <row r="18" spans="1:18">
      <c r="A18" t="s">
        <v>100</v>
      </c>
      <c r="B18">
        <v>1</v>
      </c>
      <c r="C18" t="str">
        <f>_xlfn.XLOOKUP($B18,内部名!$A:$A,内部名!$B:$B,"Unknown")</f>
        <v>Landwirtschaftliche</v>
      </c>
      <c r="D18" t="s">
        <v>106</v>
      </c>
      <c r="E18" t="s">
        <v>84</v>
      </c>
      <c r="F18">
        <v>2</v>
      </c>
      <c r="G18">
        <v>2</v>
      </c>
      <c r="P18" s="3">
        <v>0</v>
      </c>
      <c r="Q18">
        <f>($H18*$I18+$J18*$K18+$L18*$M18+$N18*$O18)/($F18*$G18)+$P18</f>
        <v>0</v>
      </c>
      <c r="R18" t="str">
        <f>CONCATENATE("jpp_",$E18,"_wilson_",$C18,$Q18,$D18)</f>
        <v>jpp_ind_wilson_Landwirtschaftliche0H</v>
      </c>
    </row>
    <row r="19" spans="1:18">
      <c r="A19" t="s">
        <v>101</v>
      </c>
      <c r="B19">
        <v>1</v>
      </c>
      <c r="C19" t="str">
        <f>_xlfn.XLOOKUP($B19,内部名!$A:$A,内部名!$B:$B,"Unknown")</f>
        <v>Landwirtschaftliche</v>
      </c>
      <c r="D19" t="s">
        <v>107</v>
      </c>
      <c r="E19" t="s">
        <v>84</v>
      </c>
      <c r="F19">
        <v>2</v>
      </c>
      <c r="G19">
        <v>2</v>
      </c>
      <c r="P19" s="3">
        <v>0</v>
      </c>
      <c r="Q19">
        <f>($H19*$I19+$J19*$K19+$L19*$M19+$N19*$O19)/($F19*$G19)+$P19</f>
        <v>0</v>
      </c>
      <c r="R19" t="str">
        <f>CONCATENATE("jpp_",$E19,"_wilson_",$C19,$Q19,$D19)</f>
        <v>jpp_ind_wilson_Landwirtschaftliche0I</v>
      </c>
    </row>
    <row r="20" spans="1:18">
      <c r="A20" t="s">
        <v>82</v>
      </c>
      <c r="B20">
        <v>1</v>
      </c>
      <c r="C20" t="str">
        <f>_xlfn.XLOOKUP($B20,内部名!$A:$A,内部名!$B:$B,"Unknown")</f>
        <v>Landwirtschaftliche</v>
      </c>
      <c r="D20" t="s">
        <v>12</v>
      </c>
      <c r="E20" t="s">
        <v>1</v>
      </c>
      <c r="F20">
        <v>1</v>
      </c>
      <c r="G20">
        <v>1</v>
      </c>
      <c r="P20" s="3">
        <v>0</v>
      </c>
      <c r="Q20">
        <f>($H20*$I20+$J20*$K20+$L20*$M20+$N20*$O20)/($F20*$G20)+$P20</f>
        <v>0</v>
      </c>
      <c r="R20" t="str">
        <f>CONCATENATE("jpp_",$E20,"_wilson_",$C20,$Q20,$D20)</f>
        <v>jpp_res_wilson_Landwirtschaftliche0A</v>
      </c>
    </row>
    <row r="21" spans="1:18">
      <c r="A21" t="s">
        <v>85</v>
      </c>
      <c r="B21">
        <v>1</v>
      </c>
      <c r="C21" t="str">
        <f>_xlfn.XLOOKUP($B21,内部名!$A:$A,内部名!$B:$B,"Unknown")</f>
        <v>Landwirtschaftliche</v>
      </c>
      <c r="D21" t="s">
        <v>13</v>
      </c>
      <c r="E21" t="s">
        <v>1</v>
      </c>
      <c r="F21">
        <v>1</v>
      </c>
      <c r="G21">
        <v>1</v>
      </c>
      <c r="P21" s="3">
        <v>0</v>
      </c>
      <c r="Q21">
        <f>($H21*$I21+$J21*$K21+$L21*$M21+$N21*$O21)/($F21*$G21)+$P21</f>
        <v>0</v>
      </c>
      <c r="R21" t="str">
        <f>CONCATENATE("jpp_",$E21,"_wilson_",$C21,$Q21,$D21)</f>
        <v>jpp_res_wilson_Landwirtschaftliche0B</v>
      </c>
    </row>
    <row r="22" spans="1:18">
      <c r="A22" t="s">
        <v>86</v>
      </c>
      <c r="B22">
        <v>1</v>
      </c>
      <c r="C22" t="str">
        <f>_xlfn.XLOOKUP($B22,内部名!$A:$A,内部名!$B:$B,"Unknown")</f>
        <v>Landwirtschaftliche</v>
      </c>
      <c r="D22" t="s">
        <v>87</v>
      </c>
      <c r="E22" t="s">
        <v>1</v>
      </c>
      <c r="F22">
        <v>1</v>
      </c>
      <c r="G22">
        <v>1</v>
      </c>
      <c r="P22" s="3">
        <v>0</v>
      </c>
      <c r="Q22">
        <f>($H22*$I22+$J22*$K22+$L22*$M22+$N22*$O22)/($F22*$G22)+$P22</f>
        <v>0</v>
      </c>
      <c r="R22" t="str">
        <f>CONCATENATE("jpp_",$E22,"_wilson_",$C22,$Q22,$D22)</f>
        <v>jpp_res_wilson_Landwirtschaftliche0C</v>
      </c>
    </row>
    <row r="23" spans="1:18">
      <c r="A23" t="s">
        <v>96</v>
      </c>
      <c r="B23">
        <v>1</v>
      </c>
      <c r="C23" t="str">
        <f>_xlfn.XLOOKUP($B23,内部名!$A:$A,内部名!$B:$B,"Unknown")</f>
        <v>Landwirtschaftliche</v>
      </c>
      <c r="D23" t="s">
        <v>102</v>
      </c>
      <c r="E23" t="s">
        <v>1</v>
      </c>
      <c r="F23">
        <v>1</v>
      </c>
      <c r="G23">
        <v>2</v>
      </c>
      <c r="P23" s="3">
        <v>0</v>
      </c>
      <c r="Q23">
        <f>($H23*$I23+$J23*$K23+$L23*$M23+$N23*$O23)/($F23*$G23)+$P23</f>
        <v>0</v>
      </c>
      <c r="R23" t="str">
        <f>CONCATENATE("jpp_",$E23,"_wilson_",$C23,$Q23,$D23)</f>
        <v>jpp_res_wilson_Landwirtschaftliche0D</v>
      </c>
    </row>
    <row r="24" spans="1:18">
      <c r="A24" t="s">
        <v>97</v>
      </c>
      <c r="B24">
        <v>1</v>
      </c>
      <c r="C24" t="str">
        <f>_xlfn.XLOOKUP($B24,内部名!$A:$A,内部名!$B:$B,"Unknown")</f>
        <v>Landwirtschaftliche</v>
      </c>
      <c r="D24" t="s">
        <v>103</v>
      </c>
      <c r="E24" t="s">
        <v>1</v>
      </c>
      <c r="F24">
        <v>1</v>
      </c>
      <c r="G24">
        <v>2</v>
      </c>
      <c r="P24" s="3">
        <v>0</v>
      </c>
      <c r="Q24">
        <f>($H24*$I24+$J24*$K24+$L24*$M24+$N24*$O24)/($F24*$G24)+$P24</f>
        <v>0</v>
      </c>
      <c r="R24" t="str">
        <f>CONCATENATE("jpp_",$E24,"_wilson_",$C24,$Q24,$D24)</f>
        <v>jpp_res_wilson_Landwirtschaftliche0E</v>
      </c>
    </row>
    <row r="25" spans="1:18">
      <c r="A25" t="s">
        <v>98</v>
      </c>
      <c r="B25">
        <v>1</v>
      </c>
      <c r="C25" t="str">
        <f>_xlfn.XLOOKUP($B25,内部名!$A:$A,内部名!$B:$B,"Unknown")</f>
        <v>Landwirtschaftliche</v>
      </c>
      <c r="D25" t="s">
        <v>104</v>
      </c>
      <c r="E25" t="s">
        <v>1</v>
      </c>
      <c r="F25">
        <v>1</v>
      </c>
      <c r="G25">
        <v>2</v>
      </c>
      <c r="P25" s="3">
        <v>0</v>
      </c>
      <c r="Q25">
        <f>($H25*$I25+$J25*$K25+$L25*$M25+$N25*$O25)/($F25*$G25)+$P25</f>
        <v>0</v>
      </c>
      <c r="R25" t="str">
        <f>CONCATENATE("jpp_",$E25,"_wilson_",$C25,$Q25,$D25)</f>
        <v>jpp_res_wilson_Landwirtschaftliche0F</v>
      </c>
    </row>
    <row r="26" spans="1:18">
      <c r="A26" t="s">
        <v>99</v>
      </c>
      <c r="B26">
        <v>1</v>
      </c>
      <c r="C26" t="str">
        <f>_xlfn.XLOOKUP($B26,内部名!$A:$A,内部名!$B:$B,"Unknown")</f>
        <v>Landwirtschaftliche</v>
      </c>
      <c r="D26" t="s">
        <v>105</v>
      </c>
      <c r="E26" t="s">
        <v>1</v>
      </c>
      <c r="F26">
        <v>2</v>
      </c>
      <c r="G26">
        <v>2</v>
      </c>
      <c r="P26" s="3">
        <v>0</v>
      </c>
      <c r="Q26">
        <f>($H26*$I26+$J26*$K26+$L26*$M26+$N26*$O26)/($F26*$G26)+$P26</f>
        <v>0</v>
      </c>
      <c r="R26" t="str">
        <f>CONCATENATE("jpp_",$E26,"_wilson_",$C26,$Q26,$D26)</f>
        <v>jpp_res_wilson_Landwirtschaftliche0G</v>
      </c>
    </row>
    <row r="27" spans="1:18">
      <c r="A27" t="s">
        <v>100</v>
      </c>
      <c r="B27">
        <v>1</v>
      </c>
      <c r="C27" t="str">
        <f>_xlfn.XLOOKUP($B27,内部名!$A:$A,内部名!$B:$B,"Unknown")</f>
        <v>Landwirtschaftliche</v>
      </c>
      <c r="D27" t="s">
        <v>106</v>
      </c>
      <c r="E27" t="s">
        <v>1</v>
      </c>
      <c r="F27">
        <v>2</v>
      </c>
      <c r="G27">
        <v>2</v>
      </c>
      <c r="P27" s="3">
        <v>0</v>
      </c>
      <c r="Q27">
        <f>($H27*$I27+$J27*$K27+$L27*$M27+$N27*$O27)/($F27*$G27)+$P27</f>
        <v>0</v>
      </c>
      <c r="R27" t="str">
        <f>CONCATENATE("jpp_",$E27,"_wilson_",$C27,$Q27,$D27)</f>
        <v>jpp_res_wilson_Landwirtschaftliche0H</v>
      </c>
    </row>
    <row r="28" spans="1:18">
      <c r="A28" t="s">
        <v>101</v>
      </c>
      <c r="B28">
        <v>1</v>
      </c>
      <c r="C28" t="str">
        <f>_xlfn.XLOOKUP($B28,内部名!$A:$A,内部名!$B:$B,"Unknown")</f>
        <v>Landwirtschaftliche</v>
      </c>
      <c r="D28" t="s">
        <v>107</v>
      </c>
      <c r="E28" t="s">
        <v>1</v>
      </c>
      <c r="F28">
        <v>2</v>
      </c>
      <c r="G28">
        <v>2</v>
      </c>
      <c r="P28" s="3">
        <v>0</v>
      </c>
      <c r="Q28">
        <f>($H28*$I28+$J28*$K28+$L28*$M28+$N28*$O28)/($F28*$G28)+$P28</f>
        <v>0</v>
      </c>
      <c r="R28" t="str">
        <f>CONCATENATE("jpp_",$E28,"_wilson_",$C28,$Q28,$D28)</f>
        <v>jpp_res_wilson_Landwirtschaftliche0I</v>
      </c>
    </row>
  </sheetData>
  <autoFilter ref="A1:R4" xr:uid="{F09EED1C-6E42-40B2-8C71-467A6F814FC2}">
    <sortState xmlns:xlrd2="http://schemas.microsoft.com/office/spreadsheetml/2017/richdata2" ref="A2:R4">
      <sortCondition ref="E2:E4"/>
      <sortCondition ref="B2:B4"/>
      <sortCondition ref="Q2:Q4"/>
      <sortCondition ref="D2:D4"/>
    </sortState>
  </autoFilter>
  <sortState xmlns:xlrd2="http://schemas.microsoft.com/office/spreadsheetml/2017/richdata2" ref="A2:R28">
    <sortCondition ref="B2:B28"/>
    <sortCondition ref="E2:E28"/>
    <sortCondition ref="Q2:Q28"/>
    <sortCondition ref="D2:D28"/>
  </sortState>
  <phoneticPr fontId="1"/>
  <dataValidations count="1">
    <dataValidation type="list" allowBlank="1" showInputMessage="1" showErrorMessage="1" sqref="E2:E1048576" xr:uid="{9DBC5044-4BBC-4DE4-AD0D-60FF2F3FC238}">
      <formula1>"res,com,ind"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7C3BC-8355-4C9B-BAEC-CDB33F77D8EF}">
  <dimension ref="A1:C8"/>
  <sheetViews>
    <sheetView workbookViewId="0"/>
  </sheetViews>
  <sheetFormatPr defaultRowHeight="18.75"/>
  <cols>
    <col min="1" max="1" width="15" bestFit="1" customWidth="1"/>
    <col min="2" max="2" width="19.5" bestFit="1" customWidth="1"/>
    <col min="3" max="3" width="11" bestFit="1" customWidth="1"/>
  </cols>
  <sheetData>
    <row r="1" spans="1:3">
      <c r="A1" t="s">
        <v>24</v>
      </c>
      <c r="B1" t="s">
        <v>10</v>
      </c>
      <c r="C1" t="s">
        <v>34</v>
      </c>
    </row>
    <row r="2" spans="1:3">
      <c r="A2">
        <v>1</v>
      </c>
      <c r="B2" t="s">
        <v>25</v>
      </c>
      <c r="C2" t="s">
        <v>35</v>
      </c>
    </row>
    <row r="3" spans="1:3">
      <c r="A3">
        <v>2</v>
      </c>
      <c r="B3" t="s">
        <v>27</v>
      </c>
      <c r="C3" t="s">
        <v>36</v>
      </c>
    </row>
    <row r="4" spans="1:3">
      <c r="A4">
        <v>3</v>
      </c>
      <c r="B4" t="s">
        <v>26</v>
      </c>
      <c r="C4" t="s">
        <v>37</v>
      </c>
    </row>
    <row r="5" spans="1:3">
      <c r="A5">
        <v>4</v>
      </c>
      <c r="B5" t="s">
        <v>30</v>
      </c>
      <c r="C5" t="s">
        <v>38</v>
      </c>
    </row>
    <row r="6" spans="1:3">
      <c r="A6">
        <v>5</v>
      </c>
      <c r="B6" t="s">
        <v>28</v>
      </c>
      <c r="C6" t="s">
        <v>61</v>
      </c>
    </row>
    <row r="7" spans="1:3">
      <c r="A7">
        <v>6</v>
      </c>
      <c r="B7" t="s">
        <v>29</v>
      </c>
      <c r="C7" t="s">
        <v>39</v>
      </c>
    </row>
    <row r="8" spans="1:3">
      <c r="A8">
        <v>7</v>
      </c>
      <c r="B8" t="s">
        <v>19</v>
      </c>
      <c r="C8" t="s">
        <v>40</v>
      </c>
    </row>
  </sheetData>
  <autoFilter ref="A1:C8" xr:uid="{8697C3BC-8355-4C9B-BAEC-CDB33F77D8EF}">
    <sortState xmlns:xlrd2="http://schemas.microsoft.com/office/spreadsheetml/2017/richdata2" ref="A2:C8">
      <sortCondition ref="A2:A8"/>
    </sortState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128jp</vt:lpstr>
      <vt:lpstr>713様</vt:lpstr>
      <vt:lpstr>ウィルソン様</vt:lpstr>
      <vt:lpstr>内部名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林田光惺</dc:creator>
  <cp:lastModifiedBy>光惺 林田</cp:lastModifiedBy>
  <dcterms:created xsi:type="dcterms:W3CDTF">2015-06-05T18:19:34Z</dcterms:created>
  <dcterms:modified xsi:type="dcterms:W3CDTF">2026-10-03T08:47:15Z</dcterms:modified>
</cp:coreProperties>
</file>